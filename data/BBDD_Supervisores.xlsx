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58D17CC9-9EC7-466B-A468-887C0991D667}"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9" i="1" l="1"/>
  <c r="AH30" i="1"/>
  <c r="AH28" i="1"/>
  <c r="AH27" i="1"/>
  <c r="AH3" i="1"/>
  <c r="AH4" i="1"/>
  <c r="AH5" i="1"/>
  <c r="AH6" i="1"/>
  <c r="AH7" i="1"/>
  <c r="AH9" i="1"/>
  <c r="AH10" i="1"/>
  <c r="AH11" i="1"/>
  <c r="AH12" i="1"/>
  <c r="AH13" i="1"/>
  <c r="AH14" i="1"/>
  <c r="AH15" i="1"/>
  <c r="AH16" i="1"/>
  <c r="AH18" i="1"/>
  <c r="AH19" i="1"/>
  <c r="AH20" i="1"/>
  <c r="AH21" i="1"/>
  <c r="AH22" i="1"/>
  <c r="AH24" i="1"/>
  <c r="AH25" i="1"/>
  <c r="AH2" i="1"/>
</calcChain>
</file>

<file path=xl/sharedStrings.xml><?xml version="1.0" encoding="utf-8"?>
<sst xmlns="http://schemas.openxmlformats.org/spreadsheetml/2006/main" count="741" uniqueCount="286">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</sst>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9">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xf numFmtId="0" fontId="4" fillId="5" borderId="0" xfId="1" applyNumberFormat="1" applyAlignment="1">
      <alignment horizont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30" headerRowDxfId="34">
  <autoFilter ref="A1:AJ30" xr:uid="{00000000-000C-0000-FFFF-FFFF00000000}"/>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16"/>
    <tableColumn id="16" xr3:uid="{00000000-0010-0000-0000-000010000000}" name="Cantidad Decodificadores" dataDxfId="15"/>
    <tableColumn id="17" xr3:uid="{00000000-0010-0000-0000-000011000000}" name="Capacitación  al Cliente" dataDxfId="14"/>
    <tableColumn id="18" xr3:uid="{00000000-0010-0000-0000-000012000000}" name="Deja Área de Trabajo Limpio " dataDxfId="13"/>
    <tableColumn id="19" xr3:uid="{00000000-0010-0000-0000-000013000000}" name="Quien recibe en domicilio" dataDxfId="12"/>
    <tableColumn id="20" xr3:uid="{00000000-0010-0000-0000-000014000000}" name="Nota de Estética del cableado " dataDxfId="11"/>
    <tableColumn id="21" xr3:uid="{00000000-0010-0000-0000-000015000000}" name="Fotografía  Módem" dataDxfId="10"/>
    <tableColumn id="22" xr3:uid="{00000000-0010-0000-0000-000016000000}" name="Fotografía Roseta  Óptica Atornillada " dataDxfId="9"/>
    <tableColumn id="23" xr3:uid="{00000000-0010-0000-0000-000017000000}" name="Fotografías Pasa-muros " dataDxfId="8"/>
    <tableColumn id="24" xr3:uid="{00000000-0010-0000-0000-000018000000}" name="Fotografías" dataDxfId="7"/>
    <tableColumn id="25" xr3:uid="{00000000-0010-0000-0000-000019000000}" name="Estado Auditoria " dataDxfId="6"/>
    <tableColumn id="26" xr3:uid="{00000000-0010-0000-0000-00001A000000}" name="Técnico cumple correctamente con su función?  " dataDxfId="5"/>
    <tableColumn id="27" xr3:uid="{00000000-0010-0000-0000-00001B000000}" name="Con que nota se evalúa al técnico " dataDxfId="4"/>
    <tableColumn id="28" xr3:uid="{00000000-0010-0000-0000-00001C000000}" name="Observaciones (detallar observaciones)" dataDxfId="3"/>
    <tableColumn id="33" xr3:uid="{6654FF87-3155-4898-9A65-816C7D124028}" name="Utiliza OneClick para realizar limpieza a conectores " dataDxfId="32"/>
    <tableColumn id="36" xr3:uid="{2662FBBF-EEE5-4E82-98C0-8584BF84424E}" name="Drop se encuentra encuentra dentro de norma de instalaciones " dataDxfId="2"/>
    <tableColumn id="35" xr3:uid="{CF2913D1-167E-463D-9DEB-ADD1D59E4B8D}" name="Reutiliza Instalación " dataDxfId="1"/>
    <tableColumn id="34" xr3:uid="{1C1000A3-E2F8-4E7C-A510-442774329E98}" name="Utiliza Alcohol isopropilico " dataDxfId="3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84" Type="http://schemas.openxmlformats.org/officeDocument/2006/relationships/hyperlink" Target="https://drive.google.com/open?id=1Ys6nt4mKfVNhwTJ1l5mGZmPtCDTs2wiD" TargetMode="External"/><Relationship Id="rId89" Type="http://schemas.openxmlformats.org/officeDocument/2006/relationships/hyperlink" Target="https://drive.google.com/open?id=1m-eN6jCH8z1x3lEFlvmJ5RNYEoGDthmr" TargetMode="External"/><Relationship Id="rId16" Type="http://schemas.openxmlformats.org/officeDocument/2006/relationships/hyperlink" Target="https://drive.google.com/open?id=1cAg185xHKS5Jvh4Ti7ijYMyyD7sf934v"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table" Target="../tables/table1.xml"/><Relationship Id="rId5" Type="http://schemas.openxmlformats.org/officeDocument/2006/relationships/hyperlink" Target="https://drive.google.com/open?id=12iqDQ8PRPzKO0ZtxepVFD_lo9Oak1i0A" TargetMode="External"/><Relationship Id="rId90" Type="http://schemas.openxmlformats.org/officeDocument/2006/relationships/hyperlink" Target="https://drive.google.com/open?id=1Srw9ivWGChc4dxUZ3qKDvzJAoXfnwUL0" TargetMode="External"/><Relationship Id="rId95" Type="http://schemas.openxmlformats.org/officeDocument/2006/relationships/hyperlink" Target="https://drive.google.com/open?id=1GuCx2Pc9bbIwqE8A8sCI7z2S0TmXENS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25" Type="http://schemas.openxmlformats.org/officeDocument/2006/relationships/hyperlink" Target="https://drive.google.com/open?id=1hUQTu7-Yh2d6RG0qCUag9TKWRnYl2eLN"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46" Type="http://schemas.openxmlformats.org/officeDocument/2006/relationships/hyperlink" Target="https://drive.google.com/open?id=1VJeC8kIARVBAXRJhaBg-HWlg535qIcyR" TargetMode="External"/><Relationship Id="rId59" Type="http://schemas.openxmlformats.org/officeDocument/2006/relationships/hyperlink" Target="https://drive.google.com/open?id=1gY7a-UzONH12AZX1pFa3JgqUrQtTqrdB" TargetMode="External"/><Relationship Id="rId67" Type="http://schemas.openxmlformats.org/officeDocument/2006/relationships/hyperlink" Target="https://drive.google.com/open?id=19H2kjEx3lwbXwq9aKGzDGUKndI7loOGq"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3" Type="http://schemas.openxmlformats.org/officeDocument/2006/relationships/hyperlink" Target="https://drive.google.com/open?id=1KsGJ-oxout_7n7kZQlBeuIYexSo59vI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30"/>
  <sheetViews>
    <sheetView tabSelected="1" workbookViewId="0">
      <pane ySplit="1" topLeftCell="A2" activePane="bottomLeft" state="frozen"/>
      <selection pane="bottomLeft" sqref="A1:AG30"/>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3" bestFit="1" customWidth="1"/>
    <col min="35" max="35" width="35.66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c r="AI2" s="14" t="s">
        <v>23</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c r="AI6" s="14" t="s">
        <v>23</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
        <v>23</v>
      </c>
      <c r="AI8" s="14" t="s">
        <v>23</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
        <v>23</v>
      </c>
      <c r="AI17" s="14" t="s">
        <v>23</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
        <v>23</v>
      </c>
      <c r="AI23" s="14" t="s">
        <v>23</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row r="25" spans="1:35" ht="15.75" customHeight="1" x14ac:dyDescent="0.25">
      <c r="A25" s="1">
        <v>46258.603575879628</v>
      </c>
      <c r="B25" s="12">
        <v>7</v>
      </c>
      <c r="C25" s="3" t="s">
        <v>239</v>
      </c>
      <c r="D25" s="3" t="s">
        <v>75</v>
      </c>
      <c r="E25" s="3" t="s">
        <v>53</v>
      </c>
      <c r="F25" s="3" t="s">
        <v>18</v>
      </c>
      <c r="G25" s="3" t="s">
        <v>18</v>
      </c>
      <c r="I25" s="3" t="s">
        <v>129</v>
      </c>
      <c r="J25" s="3" t="s">
        <v>41</v>
      </c>
      <c r="K25" s="3" t="s">
        <v>23</v>
      </c>
      <c r="L25" s="3" t="s">
        <v>240</v>
      </c>
      <c r="N25" s="3" t="s">
        <v>23</v>
      </c>
      <c r="O25" s="3" t="s">
        <v>23</v>
      </c>
      <c r="P25" s="3">
        <v>5</v>
      </c>
      <c r="Q25" s="3" t="s">
        <v>23</v>
      </c>
      <c r="R25" s="3" t="s">
        <v>23</v>
      </c>
      <c r="S25" s="3" t="s">
        <v>241</v>
      </c>
      <c r="T25" s="3">
        <v>4</v>
      </c>
      <c r="U25" s="4" t="s">
        <v>242</v>
      </c>
      <c r="V25" s="4" t="s">
        <v>243</v>
      </c>
      <c r="X25" s="4" t="s">
        <v>244</v>
      </c>
      <c r="Y25" s="3" t="s">
        <v>30</v>
      </c>
      <c r="Z25" s="3" t="s">
        <v>30</v>
      </c>
      <c r="AA25" s="3">
        <v>8</v>
      </c>
      <c r="AB25" s="3" t="s">
        <v>245</v>
      </c>
      <c r="AD25" s="3" t="s">
        <v>23</v>
      </c>
      <c r="AE25" s="3" t="s">
        <v>21</v>
      </c>
      <c r="AG25" s="3" t="s">
        <v>21</v>
      </c>
      <c r="AH25" s="13" t="str">
        <f>IFERROR(VLOOKUP(Form_Responses[[#This Row],[Nombre Técnico]],'masa de trabajo'!$B:$C,2,0),"")</f>
        <v>SI</v>
      </c>
    </row>
    <row r="26" spans="1:35" ht="15.75" customHeight="1" x14ac:dyDescent="0.25">
      <c r="A26" s="1">
        <v>46258.674336504628</v>
      </c>
      <c r="B26" s="12">
        <v>7</v>
      </c>
      <c r="C26" s="3" t="s">
        <v>246</v>
      </c>
      <c r="D26" s="3" t="s">
        <v>222</v>
      </c>
      <c r="E26" s="3" t="s">
        <v>53</v>
      </c>
      <c r="F26" s="3" t="s">
        <v>18</v>
      </c>
      <c r="G26" s="3" t="s">
        <v>18</v>
      </c>
      <c r="I26" s="3" t="s">
        <v>129</v>
      </c>
      <c r="J26" s="3" t="s">
        <v>20</v>
      </c>
      <c r="K26" s="3" t="s">
        <v>23</v>
      </c>
      <c r="L26" s="3" t="s">
        <v>247</v>
      </c>
      <c r="M26" s="3" t="s">
        <v>21</v>
      </c>
      <c r="N26" s="3" t="s">
        <v>23</v>
      </c>
      <c r="O26" s="3" t="s">
        <v>21</v>
      </c>
      <c r="Q26" s="3" t="s">
        <v>23</v>
      </c>
      <c r="R26" s="3" t="s">
        <v>23</v>
      </c>
      <c r="S26" s="3" t="s">
        <v>248</v>
      </c>
      <c r="T26" s="3">
        <v>4</v>
      </c>
      <c r="U26" s="4" t="s">
        <v>249</v>
      </c>
      <c r="V26" s="4" t="s">
        <v>250</v>
      </c>
      <c r="W26" s="4" t="s">
        <v>251</v>
      </c>
      <c r="Y26" s="3" t="s">
        <v>30</v>
      </c>
      <c r="Z26" s="3" t="s">
        <v>30</v>
      </c>
      <c r="AA26" s="3">
        <v>8</v>
      </c>
      <c r="AB26" s="3" t="s">
        <v>252</v>
      </c>
      <c r="AD26" s="3" t="s">
        <v>23</v>
      </c>
      <c r="AE26" s="3" t="s">
        <v>21</v>
      </c>
      <c r="AG26" s="3" t="s">
        <v>21</v>
      </c>
      <c r="AH26" s="13" t="s">
        <v>23</v>
      </c>
      <c r="AI26" s="14" t="s">
        <v>23</v>
      </c>
    </row>
    <row r="27" spans="1:35" ht="15.75" customHeight="1" x14ac:dyDescent="0.25">
      <c r="A27" s="1">
        <v>46260.768395266205</v>
      </c>
      <c r="B27" s="12">
        <v>6</v>
      </c>
      <c r="C27" s="3" t="s">
        <v>253</v>
      </c>
      <c r="D27" s="3" t="s">
        <v>254</v>
      </c>
      <c r="E27" s="3" t="s">
        <v>53</v>
      </c>
      <c r="F27" s="3" t="s">
        <v>18</v>
      </c>
      <c r="G27" s="3" t="s">
        <v>18</v>
      </c>
      <c r="I27" s="3" t="s">
        <v>129</v>
      </c>
      <c r="J27" s="3" t="s">
        <v>20</v>
      </c>
      <c r="K27" s="3" t="s">
        <v>23</v>
      </c>
      <c r="L27" s="3" t="s">
        <v>255</v>
      </c>
      <c r="N27" s="3" t="s">
        <v>21</v>
      </c>
      <c r="P27" s="3">
        <v>1</v>
      </c>
      <c r="Q27" s="3" t="s">
        <v>23</v>
      </c>
      <c r="R27" s="3" t="s">
        <v>23</v>
      </c>
      <c r="S27" s="3" t="s">
        <v>256</v>
      </c>
      <c r="T27" s="3">
        <v>4</v>
      </c>
      <c r="U27" s="4" t="s">
        <v>257</v>
      </c>
      <c r="V27" s="4" t="s">
        <v>258</v>
      </c>
      <c r="W27" s="4" t="s">
        <v>259</v>
      </c>
      <c r="X27" s="4" t="s">
        <v>260</v>
      </c>
      <c r="Y27" s="3" t="s">
        <v>30</v>
      </c>
      <c r="Z27" s="3" t="s">
        <v>30</v>
      </c>
      <c r="AA27" s="3">
        <v>9</v>
      </c>
      <c r="AB27" s="3" t="s">
        <v>261</v>
      </c>
      <c r="AD27" s="3" t="s">
        <v>23</v>
      </c>
      <c r="AE27" s="3" t="s">
        <v>21</v>
      </c>
      <c r="AG27" s="3" t="s">
        <v>21</v>
      </c>
      <c r="AH27" s="18" t="str">
        <f>IFERROR(VLOOKUP(Form_Responses[[#This Row],[Nombre Técnico]],'masa de trabajo'!$B:$C,2,0),"")</f>
        <v/>
      </c>
    </row>
    <row r="28" spans="1:35" ht="15.75" customHeight="1" x14ac:dyDescent="0.25">
      <c r="A28" s="1">
        <v>46261.683956793982</v>
      </c>
      <c r="B28" s="12">
        <v>10</v>
      </c>
      <c r="C28" s="3" t="s">
        <v>262</v>
      </c>
      <c r="D28" s="3" t="s">
        <v>84</v>
      </c>
      <c r="E28" s="3" t="s">
        <v>53</v>
      </c>
      <c r="F28" s="3" t="s">
        <v>18</v>
      </c>
      <c r="G28" s="3" t="s">
        <v>18</v>
      </c>
      <c r="I28" s="3" t="s">
        <v>19</v>
      </c>
      <c r="J28" s="3" t="s">
        <v>41</v>
      </c>
      <c r="K28" s="3" t="s">
        <v>23</v>
      </c>
      <c r="L28" s="3" t="s">
        <v>263</v>
      </c>
      <c r="M28" s="3" t="s">
        <v>23</v>
      </c>
      <c r="N28" s="3" t="s">
        <v>23</v>
      </c>
      <c r="Q28" s="3" t="s">
        <v>23</v>
      </c>
      <c r="R28" s="3" t="s">
        <v>23</v>
      </c>
      <c r="S28" s="3" t="s">
        <v>264</v>
      </c>
      <c r="T28" s="3">
        <v>4</v>
      </c>
      <c r="U28" s="4" t="s">
        <v>265</v>
      </c>
      <c r="V28" s="4" t="s">
        <v>266</v>
      </c>
      <c r="W28" s="4" t="s">
        <v>267</v>
      </c>
      <c r="X28" s="4" t="s">
        <v>268</v>
      </c>
      <c r="Y28" s="3" t="s">
        <v>30</v>
      </c>
      <c r="Z28" s="3" t="s">
        <v>30</v>
      </c>
      <c r="AA28" s="3">
        <v>10</v>
      </c>
      <c r="AB28" s="3" t="s">
        <v>269</v>
      </c>
      <c r="AC28" s="3" t="s">
        <v>23</v>
      </c>
      <c r="AD28" s="3" t="s">
        <v>23</v>
      </c>
      <c r="AE28" s="3" t="s">
        <v>21</v>
      </c>
      <c r="AF28" s="3" t="s">
        <v>23</v>
      </c>
      <c r="AG28" s="3" t="s">
        <v>21</v>
      </c>
      <c r="AH28" s="18" t="str">
        <f>IFERROR(VLOOKUP(Form_Responses[[#This Row],[Nombre Técnico]],'masa de trabajo'!$B:$C,2,0),"")</f>
        <v/>
      </c>
    </row>
    <row r="29" spans="1:35" ht="15.75" customHeight="1" x14ac:dyDescent="0.25">
      <c r="A29" s="1">
        <v>46266.650122476851</v>
      </c>
      <c r="B29" s="12">
        <v>8</v>
      </c>
      <c r="C29" s="3" t="s">
        <v>270</v>
      </c>
      <c r="D29" s="3" t="s">
        <v>222</v>
      </c>
      <c r="E29" s="3" t="s">
        <v>53</v>
      </c>
      <c r="F29" s="3" t="s">
        <v>18</v>
      </c>
      <c r="G29" s="3" t="s">
        <v>18</v>
      </c>
      <c r="I29" s="3" t="s">
        <v>19</v>
      </c>
      <c r="J29" s="3" t="s">
        <v>41</v>
      </c>
      <c r="L29" s="3" t="s">
        <v>271</v>
      </c>
      <c r="M29" s="3" t="s">
        <v>23</v>
      </c>
      <c r="N29" s="3" t="s">
        <v>23</v>
      </c>
      <c r="Q29" s="3" t="s">
        <v>23</v>
      </c>
      <c r="R29" s="3" t="s">
        <v>23</v>
      </c>
      <c r="T29" s="3">
        <v>4</v>
      </c>
      <c r="U29" s="4" t="s">
        <v>272</v>
      </c>
      <c r="V29" s="4" t="s">
        <v>273</v>
      </c>
      <c r="W29" s="4" t="s">
        <v>274</v>
      </c>
      <c r="X29" s="4" t="s">
        <v>275</v>
      </c>
      <c r="Y29" s="3" t="s">
        <v>30</v>
      </c>
      <c r="Z29" s="3" t="s">
        <v>30</v>
      </c>
      <c r="AA29" s="3">
        <v>9</v>
      </c>
      <c r="AB29" s="3" t="s">
        <v>276</v>
      </c>
      <c r="AC29" s="3" t="s">
        <v>77</v>
      </c>
      <c r="AD29" s="3" t="s">
        <v>23</v>
      </c>
      <c r="AE29" s="3" t="s">
        <v>21</v>
      </c>
      <c r="AF29" s="3" t="s">
        <v>23</v>
      </c>
      <c r="AG29" s="3" t="s">
        <v>21</v>
      </c>
      <c r="AH29" s="18" t="str">
        <f>IFERROR(VLOOKUP(Form_Responses[[#This Row],[Nombre Técnico]],'masa de trabajo'!$B:$C,2,0),"")</f>
        <v/>
      </c>
    </row>
    <row r="30" spans="1:35" ht="15.75" customHeight="1" x14ac:dyDescent="0.25">
      <c r="A30" s="1">
        <v>46266.829720358801</v>
      </c>
      <c r="B30" s="12">
        <v>9</v>
      </c>
      <c r="C30" s="3" t="s">
        <v>277</v>
      </c>
      <c r="D30" s="3" t="s">
        <v>278</v>
      </c>
      <c r="E30" s="3" t="s">
        <v>53</v>
      </c>
      <c r="F30" s="3" t="s">
        <v>18</v>
      </c>
      <c r="G30" s="3" t="s">
        <v>18</v>
      </c>
      <c r="I30" s="3" t="s">
        <v>19</v>
      </c>
      <c r="J30" s="3" t="s">
        <v>41</v>
      </c>
      <c r="K30" s="3" t="s">
        <v>23</v>
      </c>
      <c r="L30" s="3" t="s">
        <v>279</v>
      </c>
      <c r="M30" s="3" t="s">
        <v>23</v>
      </c>
      <c r="N30" s="3" t="s">
        <v>23</v>
      </c>
      <c r="P30" s="3">
        <v>1</v>
      </c>
      <c r="Q30" s="3" t="s">
        <v>23</v>
      </c>
      <c r="R30" s="3" t="s">
        <v>23</v>
      </c>
      <c r="S30" s="3" t="s">
        <v>280</v>
      </c>
      <c r="T30" s="3">
        <v>4</v>
      </c>
      <c r="U30" s="4" t="s">
        <v>281</v>
      </c>
      <c r="V30" s="4" t="s">
        <v>282</v>
      </c>
      <c r="W30" s="4" t="s">
        <v>283</v>
      </c>
      <c r="X30" s="4" t="s">
        <v>284</v>
      </c>
      <c r="Y30" s="3" t="s">
        <v>30</v>
      </c>
      <c r="Z30" s="3" t="s">
        <v>30</v>
      </c>
      <c r="AA30" s="3">
        <v>9</v>
      </c>
      <c r="AB30" s="3" t="s">
        <v>285</v>
      </c>
      <c r="AC30" s="3" t="s">
        <v>77</v>
      </c>
      <c r="AD30" s="3" t="s">
        <v>23</v>
      </c>
      <c r="AE30" s="3" t="s">
        <v>21</v>
      </c>
      <c r="AF30" s="3" t="s">
        <v>23</v>
      </c>
      <c r="AG30" s="3" t="s">
        <v>21</v>
      </c>
      <c r="AH30" s="18" t="str">
        <f>IFERROR(VLOOKUP(Form_Responses[[#This Row],[Nombre Técnico]],'masa de trabajo'!$B:$C,2,0),"")</f>
        <v/>
      </c>
    </row>
  </sheetData>
  <phoneticPr fontId="5" type="noConversion"/>
  <hyperlinks>
    <hyperlink ref="U2" r:id="rId1" xr:uid="{C3398179-E14A-4E17-8FFC-6ACCCB689F4A}"/>
    <hyperlink ref="V2" r:id="rId2" xr:uid="{961F42DE-F743-449B-8C6B-1C6CFDD19AA0}"/>
    <hyperlink ref="W2" r:id="rId3" xr:uid="{72579DCA-D448-4C47-82C8-B0AB23878EDB}"/>
    <hyperlink ref="X2" r:id="rId4" xr:uid="{1E994168-23B1-47BF-901B-9814B4AD719B}"/>
    <hyperlink ref="U3" r:id="rId5" xr:uid="{478F8909-54F1-499F-A37A-BF8CD49C71AB}"/>
    <hyperlink ref="V3" r:id="rId6" xr:uid="{CE657149-97F9-4323-B42C-C349CEFA7C47}"/>
    <hyperlink ref="X3" r:id="rId7" xr:uid="{A6A80AC3-5B6D-40A1-953C-BFFDE6E7985F}"/>
    <hyperlink ref="U4" r:id="rId8" xr:uid="{81CA5791-62D6-4E69-81A5-2710ADEC198F}"/>
    <hyperlink ref="V4" r:id="rId9" xr:uid="{1D5E2E38-A5B1-447C-8623-E57C8B542DF6}"/>
    <hyperlink ref="X4" r:id="rId10" xr:uid="{037168E7-F52A-424E-A04D-F252BE8256D3}"/>
    <hyperlink ref="U5" r:id="rId11" xr:uid="{5E3BEDE7-9F5F-4DB4-B89A-6410DD67EF04}"/>
    <hyperlink ref="V5" r:id="rId12" xr:uid="{7D03715F-226C-4E76-9D5C-283AF0E2F51D}"/>
    <hyperlink ref="W5" r:id="rId13" xr:uid="{9AEEA453-1470-4118-B77E-B9CE53FE045B}"/>
    <hyperlink ref="X5" r:id="rId14" xr:uid="{7E2821B6-A246-432D-A40A-10768982F3E4}"/>
    <hyperlink ref="U6" r:id="rId15" xr:uid="{DFBADFA3-1669-44A1-BF7B-DE6B6BD1A8A7}"/>
    <hyperlink ref="V6" r:id="rId16" xr:uid="{78A67EB2-9FF3-4028-9B5E-31935BE7235A}"/>
    <hyperlink ref="W6" r:id="rId17" xr:uid="{87E755E5-6B9C-4F36-8F9A-A0DF2ECCC62A}"/>
    <hyperlink ref="X6" r:id="rId18" xr:uid="{27A1E740-F9CF-4B60-AA3A-21B5D7062D0F}"/>
    <hyperlink ref="U7" r:id="rId19" xr:uid="{AB5D6C31-BE66-40C4-A16A-9AAAA847D056}"/>
    <hyperlink ref="V7" r:id="rId20" xr:uid="{A443ABB8-0DDE-4FD1-A797-92C4731181C6}"/>
    <hyperlink ref="X7" r:id="rId21" xr:uid="{D4D2774D-BA05-4494-A0A7-8DF159B410F8}"/>
    <hyperlink ref="U8" r:id="rId22" xr:uid="{243D0618-8EAD-4ACE-BF7C-1F73F4FDBD06}"/>
    <hyperlink ref="V8" r:id="rId23" xr:uid="{685A66D7-CC70-4198-AAFE-430EF1F3BA8C}"/>
    <hyperlink ref="W8" r:id="rId24" xr:uid="{796F873A-E448-4202-ADC9-1471054CD784}"/>
    <hyperlink ref="X8" r:id="rId25" xr:uid="{03AFDC79-2443-4791-923E-8952821F2B27}"/>
    <hyperlink ref="U9" r:id="rId26" xr:uid="{9687B27D-002D-4318-A63F-8F4B230B20A7}"/>
    <hyperlink ref="V9" r:id="rId27" xr:uid="{EBB5C86E-9129-46D4-8052-52704670E9D7}"/>
    <hyperlink ref="W9" r:id="rId28" xr:uid="{57F1C619-ABD8-43D6-B716-30293B12662E}"/>
    <hyperlink ref="X9" r:id="rId29" xr:uid="{C9E9DD0E-71E4-4CCB-AA25-DFCA4FE14E77}"/>
    <hyperlink ref="U10" r:id="rId30" xr:uid="{7A914863-FFFD-4822-B9DB-DAB86BB43771}"/>
    <hyperlink ref="V10" r:id="rId31" xr:uid="{7A741E25-4BAD-46B2-8A6E-31C462A71131}"/>
    <hyperlink ref="X10" r:id="rId32" xr:uid="{5E71C113-F31E-486F-B5D0-CADDC6DF8C3E}"/>
    <hyperlink ref="U11" r:id="rId33" xr:uid="{54C66A14-2926-445C-A07E-953438C8DB9F}"/>
    <hyperlink ref="V11" r:id="rId34" xr:uid="{A389CEBB-E0BD-4D36-AD61-44A998A99E5A}"/>
    <hyperlink ref="W11" r:id="rId35" xr:uid="{1B1D8C55-5924-4E94-AB0C-8185620D9BA4}"/>
    <hyperlink ref="X11" r:id="rId36" xr:uid="{C2BCBB4D-A3DF-47B0-ABAE-4EFBB6F2B711}"/>
    <hyperlink ref="U13" r:id="rId37" xr:uid="{99E338BD-EE20-4F82-8505-8A3674C8C288}"/>
    <hyperlink ref="V13" r:id="rId38" xr:uid="{4698546F-829D-4B7E-B248-213A3EDE8952}"/>
    <hyperlink ref="W13" r:id="rId39" xr:uid="{283C70E2-C37B-4F8B-BEAA-6E3BA558FCF7}"/>
    <hyperlink ref="X13" r:id="rId40" xr:uid="{5AE9E2EF-ACF2-4641-909D-77BC5C443464}"/>
    <hyperlink ref="W14" r:id="rId41" xr:uid="{31202C86-48B8-4FFF-89DD-50BE95958F51}"/>
    <hyperlink ref="X14" r:id="rId42" xr:uid="{BDA44125-B306-4891-BBAD-3DF2F1474F8A}"/>
    <hyperlink ref="U15" r:id="rId43" xr:uid="{46CF5094-EB5C-451E-ACE6-7ECF4723B4BF}"/>
    <hyperlink ref="V15" r:id="rId44" xr:uid="{ED5FFBB0-0703-4B75-B7D0-0D242B864EAA}"/>
    <hyperlink ref="X15" r:id="rId45" xr:uid="{910C73BC-0D33-428D-97AB-5B4795833E34}"/>
    <hyperlink ref="U16" r:id="rId46" xr:uid="{A29ACFB2-57E3-4934-801A-4F9E9CC843E8}"/>
    <hyperlink ref="V16" r:id="rId47" xr:uid="{219B69E9-DD80-4CE1-94BF-52C1ACDB96FD}"/>
    <hyperlink ref="W16" r:id="rId48" xr:uid="{9AEEE8C8-6BA8-4632-8B97-31C6BEB80FE6}"/>
    <hyperlink ref="X16" r:id="rId49" xr:uid="{E5A3BDCA-3B26-4226-B302-F97A7E3E2B6C}"/>
    <hyperlink ref="U17" r:id="rId50" xr:uid="{FDF482E8-C02C-455F-B95F-75C20EF004CE}"/>
    <hyperlink ref="V17" r:id="rId51" xr:uid="{98672ABA-D23E-4CBA-87B1-CE7E4A47B6F2}"/>
    <hyperlink ref="X17" r:id="rId52" xr:uid="{351B8C9A-B163-4100-91FF-76EAB6E27B6E}"/>
    <hyperlink ref="U18" r:id="rId53" xr:uid="{8E6DABF2-32E1-4A20-B655-34BF4652A23F}"/>
    <hyperlink ref="V18" r:id="rId54" xr:uid="{31A1CD5B-A9BB-42D2-BC27-BADD4FB6FA7E}"/>
    <hyperlink ref="W18" r:id="rId55" xr:uid="{5FA6E86B-315F-4DDA-B864-B88195FA1B5A}"/>
    <hyperlink ref="X18" r:id="rId56" xr:uid="{3971F0D4-C448-49D5-BDA5-D101071BFA77}"/>
    <hyperlink ref="U19" r:id="rId57" xr:uid="{7D0F6B9D-1631-4ECC-81C1-F106540E6DD2}"/>
    <hyperlink ref="V19" r:id="rId58" xr:uid="{0161611D-EE20-4618-8F7E-484246B066FB}"/>
    <hyperlink ref="W19" r:id="rId59" xr:uid="{55ED5677-3FF0-421A-8DE3-0F0E51296861}"/>
    <hyperlink ref="X19" r:id="rId60" xr:uid="{DCE7EC62-0534-443D-9D76-6B368AA48C16}"/>
    <hyperlink ref="U20" r:id="rId61" xr:uid="{2286057C-536C-41DF-8F2F-09CA76203EC4}"/>
    <hyperlink ref="V20" r:id="rId62" xr:uid="{69500FDF-13C8-4959-B61D-51E33440F9C1}"/>
    <hyperlink ref="W20" r:id="rId63" xr:uid="{E30C8A6E-2FE9-40E2-8ABB-19146A4341F8}"/>
    <hyperlink ref="X20" r:id="rId64" xr:uid="{CA1FC0C1-0C3F-43AF-A808-600030068C07}"/>
    <hyperlink ref="U21" r:id="rId65" xr:uid="{6A78BAF1-32A0-49EA-9E93-35F322A97630}"/>
    <hyperlink ref="V21" r:id="rId66" xr:uid="{EBDABCBD-613B-4970-B85C-2530135AB303}"/>
    <hyperlink ref="X21" r:id="rId67" xr:uid="{D433FDC8-B9C4-4B8E-873C-E2D2E96A6EF3}"/>
    <hyperlink ref="U22" r:id="rId68" xr:uid="{4032CB8C-816E-4E06-A16E-570449C46336}"/>
    <hyperlink ref="V22" r:id="rId69" xr:uid="{AE3A4F22-1B62-4D49-BCEC-6112FFD25640}"/>
    <hyperlink ref="W22" r:id="rId70" xr:uid="{3CFF8757-12E7-4F0A-BD92-5310FB06A0A1}"/>
    <hyperlink ref="X22" r:id="rId71" xr:uid="{6E0EC77F-37F0-40B8-8FC6-53112A710D57}"/>
    <hyperlink ref="U23" r:id="rId72" xr:uid="{847032A7-B422-427B-A45E-CC8A8C94FBC3}"/>
    <hyperlink ref="V23" r:id="rId73" xr:uid="{12672C8C-B2C9-4D65-93EF-A32978D40AA2}"/>
    <hyperlink ref="W23" r:id="rId74" xr:uid="{0F06A070-1088-4468-A1B5-6DE8E01AB0AB}"/>
    <hyperlink ref="X23" r:id="rId75" xr:uid="{BDD2808D-AC23-435B-B5A7-69B27E354708}"/>
    <hyperlink ref="U24" r:id="rId76" xr:uid="{DE60EB59-A381-4AF2-A21C-D754F9F1D30A}"/>
    <hyperlink ref="V24" r:id="rId77" xr:uid="{956B585A-E091-4166-9F32-C25FC9A7B6C4}"/>
    <hyperlink ref="W24" r:id="rId78" xr:uid="{CE47AFD4-39C1-401D-9BF1-2447504248E3}"/>
    <hyperlink ref="X24" r:id="rId79" xr:uid="{44F8C7E1-4483-44A1-A5E1-4D766AAD094E}"/>
    <hyperlink ref="U25" r:id="rId80" xr:uid="{D1897B3A-5201-47A0-B6AC-C3E078E35D89}"/>
    <hyperlink ref="V25" r:id="rId81" xr:uid="{E41D15B9-6040-41F6-996B-2175EB4B224B}"/>
    <hyperlink ref="X25" r:id="rId82" xr:uid="{4607E52E-9617-497D-A864-13B8F956A560}"/>
    <hyperlink ref="U26" r:id="rId83" xr:uid="{96073EEC-49A6-44C9-AA5A-D064F753A4DF}"/>
    <hyperlink ref="V26" r:id="rId84" xr:uid="{94531339-04AE-4405-AEB2-E275E3AE5AD8}"/>
    <hyperlink ref="W26" r:id="rId85" xr:uid="{0CB12B7F-7EFC-4F40-98D1-DB901392EEBD}"/>
    <hyperlink ref="U27" r:id="rId86" xr:uid="{BBA69B48-C8D9-4CAA-AD9D-9C9AC4340C84}"/>
    <hyperlink ref="V27" r:id="rId87" xr:uid="{760BE3D4-6C6F-4826-BCA6-E27C8DFDA3A6}"/>
    <hyperlink ref="W27" r:id="rId88" xr:uid="{F821027A-7A00-4B47-BD6C-81F3DA529946}"/>
    <hyperlink ref="X27" r:id="rId89" xr:uid="{B04BD47D-408B-48AD-A35B-68DAC4B6249C}"/>
    <hyperlink ref="U28" r:id="rId90" xr:uid="{62EE5D98-AE25-4D8B-8D4C-7D366BA141F9}"/>
    <hyperlink ref="V28" r:id="rId91" xr:uid="{3CBDDB80-286F-48B9-9032-8A5154773770}"/>
    <hyperlink ref="W28" r:id="rId92" xr:uid="{2CECDE1C-B74F-4B50-9B81-B54B7F1020DC}"/>
    <hyperlink ref="X28" r:id="rId93" xr:uid="{64289C97-88DE-4507-95A6-B92F0B98DB62}"/>
    <hyperlink ref="U29" r:id="rId94" xr:uid="{D0520700-979D-4670-BB72-6084E037A7F2}"/>
    <hyperlink ref="V29" r:id="rId95" xr:uid="{8425E87A-8884-459D-960F-7FD82D0E837F}"/>
    <hyperlink ref="W29" r:id="rId96" xr:uid="{E0FDE2CD-6350-4C9A-8B85-76F0BBAAC5C0}"/>
    <hyperlink ref="X29" r:id="rId97" xr:uid="{33106826-ED39-4008-82F1-ADF0CA4A9BF5}"/>
    <hyperlink ref="U30" r:id="rId98" xr:uid="{769A8135-A6EA-4C77-99DD-416C3F62E60F}"/>
    <hyperlink ref="V30" r:id="rId99" xr:uid="{49E16167-F8DC-415E-962C-7EFDF6876C15}"/>
    <hyperlink ref="W30" r:id="rId100" xr:uid="{0A9AE504-7C47-454C-A240-073ABDDBFA5D}"/>
    <hyperlink ref="X30" r:id="rId101" xr:uid="{2E4272F7-3F8C-4B6B-B8FE-17031146415F}"/>
  </hyperlinks>
  <pageMargins left="0.7" right="0.7" top="0.75" bottom="0.75" header="0.3" footer="0.3"/>
  <tableParts count="1">
    <tablePart r:id="rId10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2026-09-02T12:21:09Z</dcterms:modified>
</cp:coreProperties>
</file>