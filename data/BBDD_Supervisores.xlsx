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20950A98-EF30-4C7B-83CF-DD45714555DA}"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5" i="1" l="1"/>
  <c r="AH46" i="1"/>
  <c r="AI45" i="1"/>
  <c r="AI46" i="1"/>
  <c r="AJ45" i="1"/>
  <c r="AJ46" i="1"/>
  <c r="AH44" i="1"/>
  <c r="AI44" i="1"/>
  <c r="AJ44" i="1"/>
  <c r="AH43" i="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<sst xmlns="http://schemas.openxmlformats.org/spreadsheetml/2006/main" count="1239" uniqueCount="409">
  <si>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</si>
  <si>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</si>
  <si>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</si>
  <si>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</si>
  <si>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</si>
  <si>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</si>
  <si>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</si>
  <si>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</si>
  <si>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</si>
  <si>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</si>
  <si>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</si>
  <si>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</si>
  <si>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</si>
  <si>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</si>
  <si>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</si>
  <si>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</si>
  <si>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</si>
  <si>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</si>
  <si>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</si>
  <si>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</si>
  <si>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</si>
  <si>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</si>
  <si>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</si>
  <si>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</si>
  <si>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</si>
  <si>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</si>
  <si>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</si>
  <si>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</si>
  <si>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</si>
  <si>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</si>
  <si>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</si>
  <si>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</si>
  <si>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</si>
  <si>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</si>
  <si>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</si>
  <si>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</si>
  <si>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</si>
  <si>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</si>
  <si>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</si>
  <si>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</si>
  <si>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</si>
  <si>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</si>
  <si>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</si>
  <si>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</si>
  <si>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</si>
  <si>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</si>
  <si>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</si>
  <si>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</si>
  <si>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</si>
  <si>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</si>
  <si>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</si>
  <si>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</si>
  <si>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</si>
  <si>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</si>
  <si>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</si>
  <si>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</si>
  <si>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</si>
  <si>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</si>
  <si>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</si>
  <si>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</si>
  <si>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</si>
  <si>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</si>
  <si>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</si>
  <si>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</si>
  <si>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</si>
  <si>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</si>
  <si>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</si>
  <si>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</si>
  <si>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</si>
  <si>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</si>
  <si>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</si>
  <si>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</si>
  <si>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</si>
  <si>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</si>
  <si>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</si>
  <si>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</si>
  <si>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</si>
  <si>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</si>
  <si>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</si>
  <si>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</si>
  <si>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</si>
  <si>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</si>
  <si>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</si>
  <si>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</si>
  <si>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</si>
  <si>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</si>
  <si>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</si>
  <si>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</si>
  <si>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</si>
  <si>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</si>
  <si>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</si>
  <si>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</si>
  <si>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</si>
  <si>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</si>
  <si>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</si>
  <si>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</si>
  <si>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</si>
  <si>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</si>
  <si>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</si>
  <si>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</si>
  <si>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</si>
  <si>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</si>
  <si>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</si>
  <si>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</si>
  <si>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</si>
  <si>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</si>
  <si>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</si>
  <si>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</si>
  <si>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</si>
  <si>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</si>
  <si>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</si>
  <si>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</si>
  <si>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</si>
  <si>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</si>
  <si>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</si>
  <si>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</si>
  <si>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</si>
  <si>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</si>
  <si>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</si>
  <si>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</si>
  <si>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</si>
  <si>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</si>
  <si>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</si>
  <si>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</si>
  <si>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</si>
  <si>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</si>
  <si>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</si>
  <si>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</si>
  <si>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</si>
  <si>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</si>
  <si>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</si>
  <si>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</si>
  <si>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</si>
  <si>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</si>
  <si>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</si>
  <si>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</si>
  <si>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</si>
  <si>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</si>
  <si>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</si>
  <si>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</si>
  <si>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</si>
  <si>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</si>
  <si>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</si>
  <si>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</si>
  <si>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</si>
  <si>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</si>
  <si>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</si>
  <si>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</si>
  <si>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</si>
  <si>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</si>
  <si>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</si>
  <si>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</si>
  <si>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</si>
  <si>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</si>
  <si>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</si>
  <si>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</si>
  <si>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</si>
  <si>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</si>
  <si>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</si>
  <si>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</si>
  <si>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</si>
  <si>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</si>
  <si>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</si>
  <si>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</si>
  <si>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</si>
  <si>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</si>
  <si>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</si>
  <si>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</si>
  <si>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</si>
  <si>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</si>
  <si>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</si>
  <si>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</si>
  <si>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</si>
  <si>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</si>
  <si>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</si>
  <si>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</si>
  <si>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</si>
  <si>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</si>
  <si>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</si>
  <si>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</si>
  <si>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</si>
  <si>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</si>
  <si>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</si>
  <si>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</si>
  <si>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</si>
  <si>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</si>
  <si>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</si>
  <si>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</si>
  <si>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</si>
  <si>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</si>
  <si>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</si>
  <si>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</si>
  <si>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</si>
  <si>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</si>
  <si>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</si>
  <si>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</si>
  <si>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</si>
  <si>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</si>
  <si>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</si>
  <si>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</si>
  <si>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</si>
  <si>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</si>
  <si>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</si>
  <si>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</si>
  <si>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</si>
  <si>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</si>
  <si>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</si>
  <si>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</si>
  <si>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</si>
  <si>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</si>
  <si>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</si>
  <si>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</si>
  <si>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</si>
  <si>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</si>
  <si>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</si>
  <si>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</si>
  <si>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</si>
  <si>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</si>
  <si>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</si>
  <si>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</si>
  <si>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</si>
  <si>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</si>
  <si>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</si>
  <si>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</si>
  <si>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</si>
  <si>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</si>
  <si>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</si>
  <si>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</si>
  <si>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</si>
  <si>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</si>
  <si>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</si>
  <si>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</si>
  <si>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</si>
  <si>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</si>
  <si>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</si>
  <si>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</si>
  <si>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</si>
  <si>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</si>
  <si>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</si>
  <si>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</si>
  <si>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</si>
  <si>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</si>
  <si>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</si>
  <si>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</si>
  <si>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</si>
  <si>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</si>
  <si>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</si>
  <si>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</si>
  <si>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</si>
  <si>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</si>
  <si>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</si>
  <si>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</si>
  <si>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</si>
  <si>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</si>
  <si>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</si>
  <si>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</si>
  <si>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</si>
  <si>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</si>
  <si>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</si>
  <si>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</si>
  <si>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</si>
  <si>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</si>
  <si>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</si>
  <si>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</si>
  <si>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</si>
  <si>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</si>
  <si>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</si>
  <si>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</si>
  <si>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</si>
  <si>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</si>
  <si>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</si>
  <si>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</si>
  <si>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</si>
  <si>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</si>
  <si>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</si>
  <si>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</si>
  <si>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</si>
  <si>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</si>
  <si>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</si>
  <si>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</si>
  <si>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</si>
  <si>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</si>
  <si>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</si>
  <si>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</si>
  <si>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</si>
  <si>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</si>
  <si>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</si>
  <si>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</si>
  <si>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</si>
  <si>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</si>
  <si>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</si>
  <si>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</si>
  <si>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</si>
  <si>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</si>
  <si>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</si>
  <si>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</si>
  <si>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</si>
  <si>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</si>
  <si>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</si>
  <si>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</si>
  <si>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</si>
  <si>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</si>
  <si>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</si>
  <si>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</si>
  <si>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</si>
  <si>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</si>
  <si>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</si>
  <si>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</si>
  <si>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</si>
  <si>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</si>
  <si>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</si>
  <si>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</si>
  <si>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</si>
  <si>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</si>
  <si>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</si>
  <si>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</si>
  <si>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</si>
  <si>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</si>
  <si>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</si>
  <si>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</si>
  <si>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</si>
  <si>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</si>
  <si>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</si>
  <si>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</si>
  <si>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</si>
  <si>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</si>
  <si>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</si>
  <si>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</si>
  <si>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</si>
  <si>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</si>
  <si>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</si>
  <si>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</si>
  <si>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</si>
  <si>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</si>
  <si>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</si>
  <si>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</si>
  <si>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</si>
  <si>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</si>
  <si>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</si>
  <si>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</si>
  <si>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</si>
  <si>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</si>
  <si>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</si>
  <si>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</si>
  <si>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</si>
  <si>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</si>
  <si>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</si>
  <si>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</si>
  <si>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</si>
  <si>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</si>
  <si>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</si>
  <si>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</si>
  <si>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</si>
  <si>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</si>
  <si>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</si>
  <si>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</si>
  <si>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</si>
  <si>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</si>
  <si>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</si>
  <si>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</si>
  <si>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</si>
  <si>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</si>
  <si>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</si>
  <si>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</si>
  <si>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</si>
  <si>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</si>
  <si>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</si>
  <si>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</si>
  <si>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</si>
  <si>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</si>
  <si>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</si>
  <si>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</si>
  <si>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</si>
  <si>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</si>
  <si>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</si>
  <si>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</si>
  <si>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</si>
  <si>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</si>
  <si>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</si>
  <si>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</si>
  <si>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</si>
  <si>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</si>
  <si>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</si>
  <si>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</si>
  <si>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</si>
  <si>
    <t>1-3NQ40XW0</t>
  </si>
  <si>
    <t xml:space="preserve">Juan Martinez De Rosa 5093, Quinta Normal </t>
  </si>
  <si>
    <t>Ricardo Morales</t>
  </si>
  <si>
    <t>https://drive.google.com/open?id=1FPvFPDgEnnypJWf0VXmV29yOAdaRKUZR</t>
  </si>
  <si>
    <t>https://drive.google.com/open?id=1otNSCl6WVib1dsbC8I8_nAyXRJ9qrRVm</t>
  </si>
  <si>
    <t>https://drive.google.com/open?id=10tliLsuE2PB_Jc-GAEJOLCkIX_U0HfhN</t>
  </si>
  <si>
    <t>https://drive.google.com/open?id=1Qp5ezsgZAQ38PrHjL_3U5p91DxI5bHmh</t>
  </si>
  <si>
    <t xml:space="preserve">No retira pestaña en roseta, sin dificultad Conector </t>
  </si>
  <si>
    <t>1-3NRRATPK</t>
  </si>
  <si>
    <t>Cuadro verde 150 edif 1 dpto 83, Estacion Central</t>
  </si>
  <si>
    <t>Jaime Carrillo</t>
  </si>
  <si>
    <t>https://drive.google.com/open?id=1H08P5rlpRN_laQ_a1DAfCZydYE8kle1J</t>
  </si>
  <si>
    <t>https://drive.google.com/open?id=14uxy8hUORxfoeCTanmU6qVyMCVQR5mFg</t>
  </si>
  <si>
    <t>https://drive.google.com/open?id=1QUbHfHIInppcuY4avzGQ8BoX81fsrszR</t>
  </si>
  <si>
    <t>https://drive.google.com/open?id=1V9PMOnlqYqfCZoTXIqI4Jj4cEQqAC2Gi</t>
  </si>
  <si>
    <t>No retira pestaña en roseta</t>
  </si>
  <si>
    <t xml:space="preserve">1-3NRWT22T </t>
  </si>
  <si>
    <t xml:space="preserve">Mundo Nuevo 4405, Quinta Normal </t>
  </si>
  <si>
    <t>Andrea Muñoz</t>
  </si>
  <si>
    <t>https://drive.google.com/open?id=1HuvvMuctR9m1VrvdLiRxt2OQIB1-g_Iv</t>
  </si>
  <si>
    <t>https://drive.google.com/open?id=1PVSZSZf1DgoMJ-OqDtUMa_7eL8vMTWsJ</t>
  </si>
  <si>
    <t>https://drive.google.com/open?id=1iBf4CyIyl_Kn6bd5FQcqxIVLAlexu6wI</t>
  </si>
  <si>
    <t>https://drive.google.com/open?id=1bkLvpgjZFHF_EH3JYOlqWL_viViW592z</t>
  </si>
  <si>
    <t xml:space="preserve">Instalación de roseta fuera de norma a petición de cliente, técnico ocupa herramientas one click según procedimiento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</si>
</sst>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6" headerRowDxfId="34">
  <autoFilter ref="A1:AJ46"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32"/>
    <tableColumn id="16" xr3:uid="{00000000-0010-0000-0000-000010000000}" name="Cantidad Decodificadores" dataDxfId="31"/>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59" Type="http://schemas.openxmlformats.org/officeDocument/2006/relationships/hyperlink" Target="https://drive.google.com/open?id=1HuvvMuctR9m1VrvdLiRxt2OQIB1-g_Iv"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160" Type="http://schemas.openxmlformats.org/officeDocument/2006/relationships/hyperlink" Target="https://drive.google.com/open?id=1PVSZSZf1DgoMJ-OqDtUMa_7eL8vMTWsJ" TargetMode="External"/><Relationship Id="rId22" Type="http://schemas.openxmlformats.org/officeDocument/2006/relationships/hyperlink" Target="https://drive.google.com/open?id=1WwnXsHKOqdcxhVKy7K78PfZqcdpIXWPD" TargetMode="External"/><Relationship Id="rId43" Type="http://schemas.openxmlformats.org/officeDocument/2006/relationships/hyperlink" Target="https://drive.google.com/open?id=1Q8vNcuhdAz4joWsuGjDNyWvbEU-wJasi" TargetMode="External"/><Relationship Id="rId64" Type="http://schemas.openxmlformats.org/officeDocument/2006/relationships/hyperlink" Target="https://drive.google.com/open?id=1TzdMGzyYx5WTozjYRFT2uT4JAqQdxQS9" TargetMode="External"/><Relationship Id="rId118" Type="http://schemas.openxmlformats.org/officeDocument/2006/relationships/hyperlink" Target="https://drive.google.com/open?id=1_dnXHFhbI_rHIPquJovLBhU46yIrAZ3n" TargetMode="External"/><Relationship Id="rId139" Type="http://schemas.openxmlformats.org/officeDocument/2006/relationships/hyperlink" Target="https://drive.google.com/open?id=14swrKT8z_gymQwhT5IhdH-mVs0pplGko"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08" Type="http://schemas.openxmlformats.org/officeDocument/2006/relationships/hyperlink" Target="https://drive.google.com/open?id=1qQa-IfAV_dLOsGZNC17MNWWzKIc7SkUQ" TargetMode="External"/><Relationship Id="rId124" Type="http://schemas.openxmlformats.org/officeDocument/2006/relationships/hyperlink" Target="https://drive.google.com/open?id=16tLU2tsRGSZYpel88kvrTizbREZsrQ7x"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45" Type="http://schemas.openxmlformats.org/officeDocument/2006/relationships/hyperlink" Target="https://drive.google.com/open?id=1Wskr8uc0GZARG5xMSg7mC1mqiEcPBwIx" TargetMode="External"/><Relationship Id="rId161" Type="http://schemas.openxmlformats.org/officeDocument/2006/relationships/hyperlink" Target="https://drive.google.com/open?id=1iBf4CyIyl_Kn6bd5FQcqxIVLAlexu6wI"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51" Type="http://schemas.openxmlformats.org/officeDocument/2006/relationships/hyperlink" Target="https://drive.google.com/open?id=1FPvFPDgEnnypJWf0VXmV29yOAdaRKUZR" TargetMode="External"/><Relationship Id="rId156" Type="http://schemas.openxmlformats.org/officeDocument/2006/relationships/hyperlink" Target="https://drive.google.com/open?id=14uxy8hUORxfoeCTanmU6qVyMCVQR5mFg"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162" Type="http://schemas.openxmlformats.org/officeDocument/2006/relationships/hyperlink" Target="https://drive.google.com/open?id=1bkLvpgjZFHF_EH3JYOlqWL_viViW592z"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157" Type="http://schemas.openxmlformats.org/officeDocument/2006/relationships/hyperlink" Target="https://drive.google.com/open?id=1QUbHfHIInppcuY4avzGQ8BoX81fsrszR"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52" Type="http://schemas.openxmlformats.org/officeDocument/2006/relationships/hyperlink" Target="https://drive.google.com/open?id=1otNSCl6WVib1dsbC8I8_nAyXRJ9qrRVm"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163" Type="http://schemas.openxmlformats.org/officeDocument/2006/relationships/table" Target="../tables/table1.xm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158" Type="http://schemas.openxmlformats.org/officeDocument/2006/relationships/hyperlink" Target="https://drive.google.com/open?id=1V9PMOnlqYqfCZoTXIqI4Jj4cEQqAC2Gi"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3" Type="http://schemas.openxmlformats.org/officeDocument/2006/relationships/hyperlink" Target="https://drive.google.com/open?id=10tliLsuE2PB_Jc-GAEJOLCkIX_U0HfhN"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54" Type="http://schemas.openxmlformats.org/officeDocument/2006/relationships/hyperlink" Target="https://drive.google.com/open?id=1Qp5ezsgZAQ38PrHjL_3U5p91DxI5bHmh" TargetMode="Externa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 Id="rId27" Type="http://schemas.openxmlformats.org/officeDocument/2006/relationships/hyperlink" Target="https://drive.google.com/open?id=1bm95wbg0W4QfOhTQ-l3iSNpuXZbayYdA" TargetMode="External"/><Relationship Id="rId48" Type="http://schemas.openxmlformats.org/officeDocument/2006/relationships/hyperlink" Target="https://drive.google.com/open?id=1vu-Eev9UKvXcT1YJ8o4Tt9Y-UNmKsclY"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34" Type="http://schemas.openxmlformats.org/officeDocument/2006/relationships/hyperlink" Target="https://drive.google.com/open?id=1MwSEkrsBBQvBBAIH6sUjmiE0-F2pEfCp" TargetMode="External"/><Relationship Id="rId80" Type="http://schemas.openxmlformats.org/officeDocument/2006/relationships/hyperlink" Target="https://drive.google.com/open?id=1Y8Cfh87znZW3suakDsP6fLxmlQ9Phsz-" TargetMode="External"/><Relationship Id="rId155" Type="http://schemas.openxmlformats.org/officeDocument/2006/relationships/hyperlink" Target="https://drive.google.com/open?id=1H08P5rlpRN_laQ_a1DAfCZydYE8kle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6"/>
  <sheetViews>
    <sheetView tabSelected="1" workbookViewId="0">
      <pane ySplit="1" topLeftCell="A24" activePane="bottomLeft" state="frozen"/>
      <selection pane="bottomLeft" sqref="A1:AG46"/>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row r="44" spans="1:36" ht="15.75" customHeight="1" x14ac:dyDescent="0.25">
      <c r="A44" s="1">
        <v>46275.333339247685</v>
      </c>
      <c r="B44" s="10">
        <v>8</v>
      </c>
      <c r="C44" s="3" t="s">
        <v>385</v>
      </c>
      <c r="D44" s="3" t="s">
        <v>63</v>
      </c>
      <c r="E44" s="3" t="s">
        <v>53</v>
      </c>
      <c r="F44" s="3" t="s">
        <v>18</v>
      </c>
      <c r="G44" s="3" t="s">
        <v>18</v>
      </c>
      <c r="I44" s="3" t="s">
        <v>128</v>
      </c>
      <c r="J44" s="3" t="s">
        <v>65</v>
      </c>
      <c r="K44" s="3" t="s">
        <v>23</v>
      </c>
      <c r="L44" s="3" t="s">
        <v>386</v>
      </c>
      <c r="M44" s="3" t="s">
        <v>23</v>
      </c>
      <c r="N44" s="3" t="s">
        <v>23</v>
      </c>
      <c r="Q44" s="3" t="s">
        <v>23</v>
      </c>
      <c r="R44" s="3" t="s">
        <v>23</v>
      </c>
      <c r="S44" s="3" t="s">
        <v>387</v>
      </c>
      <c r="T44" s="3">
        <v>4</v>
      </c>
      <c r="U44" s="4" t="s">
        <v>388</v>
      </c>
      <c r="V44" s="4" t="s">
        <v>389</v>
      </c>
      <c r="W44" s="4" t="s">
        <v>390</v>
      </c>
      <c r="X44" s="4" t="s">
        <v>391</v>
      </c>
      <c r="Y44" s="3" t="s">
        <v>30</v>
      </c>
      <c r="Z44" s="3" t="s">
        <v>30</v>
      </c>
      <c r="AA44" s="3">
        <v>9</v>
      </c>
      <c r="AB44" s="3" t="s">
        <v>392</v>
      </c>
      <c r="AD44" s="3" t="s">
        <v>23</v>
      </c>
      <c r="AE44" s="3" t="s">
        <v>21</v>
      </c>
      <c r="AG44" s="3" t="s">
        <v>21</v>
      </c>
      <c r="AH44" s="15" t="str">
        <f>IFERROR(VLOOKUP(Form_Responses[[#This Row],[Nombre Técnico]],'masa de trabajo'!$B:$C,2,0),"")</f>
        <v>SI</v>
      </c>
      <c r="AI44" s="12" t="str">
        <f>VLOOKUP(Form_Responses[[#This Row],[Nombre Técnico]],'masa de trabajo'!$B:$E,3,0)</f>
        <v>SI</v>
      </c>
      <c r="AJ44" s="12" t="str">
        <f>VLOOKUP(Form_Responses[[#This Row],[Nombre Técnico]],'masa de trabajo'!$B:$E,4,0)</f>
        <v>-</v>
      </c>
    </row>
    <row r="45" spans="1:36" ht="15.75" customHeight="1" x14ac:dyDescent="0.25">
      <c r="A45" s="1">
        <v>46275.584452997689</v>
      </c>
      <c r="B45" s="10">
        <v>6</v>
      </c>
      <c r="C45" s="3" t="s">
        <v>393</v>
      </c>
      <c r="D45" s="3" t="s">
        <v>52</v>
      </c>
      <c r="E45" s="3" t="s">
        <v>53</v>
      </c>
      <c r="F45" s="3" t="s">
        <v>18</v>
      </c>
      <c r="G45" s="3" t="s">
        <v>18</v>
      </c>
      <c r="I45" s="3" t="s">
        <v>128</v>
      </c>
      <c r="J45" s="3" t="s">
        <v>20</v>
      </c>
      <c r="L45" s="3" t="s">
        <v>394</v>
      </c>
      <c r="N45" s="3" t="s">
        <v>23</v>
      </c>
      <c r="Q45" s="3" t="s">
        <v>23</v>
      </c>
      <c r="R45" s="3" t="s">
        <v>23</v>
      </c>
      <c r="S45" s="3" t="s">
        <v>395</v>
      </c>
      <c r="T45" s="3">
        <v>4</v>
      </c>
      <c r="U45" s="4" t="s">
        <v>396</v>
      </c>
      <c r="V45" s="4" t="s">
        <v>397</v>
      </c>
      <c r="W45" s="4" t="s">
        <v>398</v>
      </c>
      <c r="X45" s="4" t="s">
        <v>399</v>
      </c>
      <c r="Y45" s="3" t="s">
        <v>30</v>
      </c>
      <c r="Z45" s="3" t="s">
        <v>30</v>
      </c>
      <c r="AA45" s="3">
        <v>9</v>
      </c>
      <c r="AB45" s="3" t="s">
        <v>400</v>
      </c>
      <c r="AD45" s="3" t="s">
        <v>23</v>
      </c>
      <c r="AE45" s="3" t="s">
        <v>21</v>
      </c>
      <c r="AG45" s="3" t="s">
        <v>21</v>
      </c>
      <c r="AH45" s="15" t="str">
        <f>IFERROR(VLOOKUP(Form_Responses[[#This Row],[Nombre Técnico]],'masa de trabajo'!$B:$C,2,0),"")</f>
        <v>SI</v>
      </c>
      <c r="AI45" s="12" t="str">
        <f>VLOOKUP(Form_Responses[[#This Row],[Nombre Técnico]],'masa de trabajo'!$B:$E,3,0)</f>
        <v>-</v>
      </c>
      <c r="AJ45" s="12" t="str">
        <f>VLOOKUP(Form_Responses[[#This Row],[Nombre Técnico]],'masa de trabajo'!$B:$E,4,0)</f>
        <v>-</v>
      </c>
    </row>
    <row r="46" spans="1:36" ht="15.75" customHeight="1" x14ac:dyDescent="0.25">
      <c r="A46" s="1">
        <v>46275.784461053241</v>
      </c>
      <c r="B46" s="10">
        <v>9</v>
      </c>
      <c r="C46" s="3" t="s">
        <v>401</v>
      </c>
      <c r="D46" s="3" t="s">
        <v>84</v>
      </c>
      <c r="E46" s="3" t="s">
        <v>53</v>
      </c>
      <c r="F46" s="3" t="s">
        <v>18</v>
      </c>
      <c r="G46" s="3" t="s">
        <v>18</v>
      </c>
      <c r="I46" s="3" t="s">
        <v>19</v>
      </c>
      <c r="J46" s="3" t="s">
        <v>41</v>
      </c>
      <c r="K46" s="3" t="s">
        <v>23</v>
      </c>
      <c r="L46" s="3" t="s">
        <v>402</v>
      </c>
      <c r="M46" s="3" t="s">
        <v>23</v>
      </c>
      <c r="N46" s="3" t="s">
        <v>21</v>
      </c>
      <c r="Q46" s="3" t="s">
        <v>23</v>
      </c>
      <c r="R46" s="3" t="s">
        <v>23</v>
      </c>
      <c r="S46" s="3" t="s">
        <v>403</v>
      </c>
      <c r="T46" s="3">
        <v>4</v>
      </c>
      <c r="U46" s="4" t="s">
        <v>404</v>
      </c>
      <c r="V46" s="4" t="s">
        <v>405</v>
      </c>
      <c r="W46" s="4" t="s">
        <v>406</v>
      </c>
      <c r="X46" s="4" t="s">
        <v>407</v>
      </c>
      <c r="Y46" s="3" t="s">
        <v>30</v>
      </c>
      <c r="Z46" s="3" t="s">
        <v>30</v>
      </c>
      <c r="AA46" s="3">
        <v>9</v>
      </c>
      <c r="AB46" s="3" t="s">
        <v>408</v>
      </c>
      <c r="AC46" s="3" t="s">
        <v>23</v>
      </c>
      <c r="AD46" s="3" t="s">
        <v>23</v>
      </c>
      <c r="AE46" s="3" t="s">
        <v>21</v>
      </c>
      <c r="AF46" s="3" t="s">
        <v>23</v>
      </c>
      <c r="AG46" s="3" t="s">
        <v>21</v>
      </c>
      <c r="AH46" s="15" t="str">
        <f>IFERROR(VLOOKUP(Form_Responses[[#This Row],[Nombre Técnico]],'masa de trabajo'!$B:$C,2,0),"")</f>
        <v>SI</v>
      </c>
      <c r="AI46" s="12" t="str">
        <f>VLOOKUP(Form_Responses[[#This Row],[Nombre Técnico]],'masa de trabajo'!$B:$E,3,0)</f>
        <v>SI</v>
      </c>
      <c r="AJ46" s="12" t="str">
        <f>VLOOKUP(Form_Responses[[#This Row],[Nombre Técnico]],'masa de trabajo'!$B:$E,4,0)</f>
        <v>-</v>
      </c>
    </row>
  </sheetData>
  <phoneticPr fontId="5" type="noConversion"/>
  <hyperlinks>
    <hyperlink ref="U2" r:id="rId1" xr:uid="{DDBFDC9A-1F33-4E03-ADB9-6268541CBC04}"/>
    <hyperlink ref="V2" r:id="rId2" xr:uid="{37A63072-5673-4FDB-B792-AD2E8A8E369E}"/>
    <hyperlink ref="W2" r:id="rId3" xr:uid="{7560B42B-76B0-4E97-BCA7-F8FAEBD33588}"/>
    <hyperlink ref="X2" r:id="rId4" xr:uid="{F154A939-7995-471B-8AB0-4A7753B33551}"/>
    <hyperlink ref="U3" r:id="rId5" xr:uid="{E0F44651-48B1-4B38-BC1D-47CA23FF8C0B}"/>
    <hyperlink ref="V3" r:id="rId6" xr:uid="{BE30D6A7-46DB-4F6C-AD72-1752CB939B95}"/>
    <hyperlink ref="X3" r:id="rId7" xr:uid="{CA167C38-8F38-4D12-AE3E-36A962686EEB}"/>
    <hyperlink ref="U4" r:id="rId8" xr:uid="{D097F255-C057-4EA6-9959-F5E9FE6D4DAF}"/>
    <hyperlink ref="V4" r:id="rId9" xr:uid="{667BF350-5C7E-4BED-BAB4-B70AD633AC2B}"/>
    <hyperlink ref="X4" r:id="rId10" xr:uid="{F204F857-ABAC-4851-9133-5468969ED01B}"/>
    <hyperlink ref="U5" r:id="rId11" xr:uid="{DBB757EF-35DB-4D87-BB71-25929AE0A4DD}"/>
    <hyperlink ref="V5" r:id="rId12" xr:uid="{6CFA9AA9-5BF6-4FEE-B7D1-7CD1E09C49B2}"/>
    <hyperlink ref="W5" r:id="rId13" xr:uid="{2064B47C-688E-4391-B5A3-325534D4FDE9}"/>
    <hyperlink ref="X5" r:id="rId14" xr:uid="{01CC9F0F-7D6E-4F7E-A1BF-0E1F848836E4}"/>
    <hyperlink ref="U6" r:id="rId15" xr:uid="{AB478435-471C-4371-91AD-4C7AE618A5FF}"/>
    <hyperlink ref="V6" r:id="rId16" xr:uid="{1EA9BA0C-5718-40EC-809B-97CAF885DFC4}"/>
    <hyperlink ref="W6" r:id="rId17" xr:uid="{0AACC061-E43D-4813-BE65-7C3A318243DE}"/>
    <hyperlink ref="X6" r:id="rId18" xr:uid="{AB734527-DA29-4B4E-85CD-8A81E8978831}"/>
    <hyperlink ref="U7" r:id="rId19" xr:uid="{F0234C13-FC96-4BFA-B4E9-1276D809C0EB}"/>
    <hyperlink ref="V7" r:id="rId20" xr:uid="{56890858-0899-46E3-84C8-28783176AD09}"/>
    <hyperlink ref="X7" r:id="rId21" xr:uid="{F3DFDF6D-9060-4F4C-A52E-3C3B20622D9A}"/>
    <hyperlink ref="U8" r:id="rId22" xr:uid="{8556F2B1-6E7D-4DEF-97C4-C23C1A13369C}"/>
    <hyperlink ref="V8" r:id="rId23" xr:uid="{55EF873B-9B2F-4306-98AB-4564E0A9F058}"/>
    <hyperlink ref="W8" r:id="rId24" xr:uid="{451F7615-519A-4673-9E53-5786221C25D1}"/>
    <hyperlink ref="X8" r:id="rId25" xr:uid="{688A3B1F-0BA4-4781-A0CB-6809A29080F9}"/>
    <hyperlink ref="U9" r:id="rId26" xr:uid="{317B89F5-DC8F-4170-B014-3CA990B1D0B1}"/>
    <hyperlink ref="V9" r:id="rId27" xr:uid="{259F6E59-0FB6-4428-84F6-5BCCED13C6EE}"/>
    <hyperlink ref="W9" r:id="rId28" xr:uid="{9C383BA3-6457-442F-B94C-BB4E0F80489C}"/>
    <hyperlink ref="X9" r:id="rId29" xr:uid="{1AE8D042-D7A5-4359-8C8B-0C7882A8659B}"/>
    <hyperlink ref="U10" r:id="rId30" xr:uid="{D5F855A3-32AB-452E-B7DA-6D286F75E434}"/>
    <hyperlink ref="V10" r:id="rId31" xr:uid="{2E98CCEC-C8DB-4CA1-8DF1-BD9EA71F5584}"/>
    <hyperlink ref="X10" r:id="rId32" xr:uid="{981B028C-BF4C-4551-B014-DB0DE6F682B9}"/>
    <hyperlink ref="U11" r:id="rId33" xr:uid="{79DCB601-B9E4-447B-A3E1-8B9A85B7F79D}"/>
    <hyperlink ref="V11" r:id="rId34" xr:uid="{369FE38C-C785-47EA-AF50-8E5D73FA114B}"/>
    <hyperlink ref="W11" r:id="rId35" xr:uid="{40241DDA-871F-41D8-9A1B-52D63CC16BE9}"/>
    <hyperlink ref="X11" r:id="rId36" xr:uid="{DEF10765-457C-487F-B247-FBFF1096ABA9}"/>
    <hyperlink ref="U13" r:id="rId37" xr:uid="{511B6544-9065-40F8-9721-670D67904B82}"/>
    <hyperlink ref="V13" r:id="rId38" xr:uid="{0B0DD9D6-D5CE-4586-8C57-D30A19CBF4ED}"/>
    <hyperlink ref="W13" r:id="rId39" xr:uid="{4FD65566-231D-43FE-814D-A35E38AA825B}"/>
    <hyperlink ref="X13" r:id="rId40" xr:uid="{7A2B9253-086D-46A5-803B-86583BB00CF6}"/>
    <hyperlink ref="W14" r:id="rId41" xr:uid="{DD0E201A-EB33-4386-9B23-38ABD9888947}"/>
    <hyperlink ref="X14" r:id="rId42" xr:uid="{599D673E-2ECA-4F67-8CEF-7EAA3021EF76}"/>
    <hyperlink ref="U15" r:id="rId43" xr:uid="{4FED9D57-B887-4464-B6B5-6DC77B90C335}"/>
    <hyperlink ref="V15" r:id="rId44" xr:uid="{C3C596D1-FEE6-40D1-BE1D-4AC2AABBF423}"/>
    <hyperlink ref="X15" r:id="rId45" xr:uid="{3D276E5B-D504-4EA8-8D39-BD14994B4C01}"/>
    <hyperlink ref="U16" r:id="rId46" xr:uid="{F471B65E-2254-4F7B-94EA-5C992C4CEAB7}"/>
    <hyperlink ref="V16" r:id="rId47" xr:uid="{2C34D939-BB6F-4D47-8AB3-5B0523DB10A4}"/>
    <hyperlink ref="W16" r:id="rId48" xr:uid="{7C7F9036-1BAA-47F0-A89D-0D42B5B7BB78}"/>
    <hyperlink ref="X16" r:id="rId49" xr:uid="{3DBA7FA1-36F8-4524-9900-B98697EF4E97}"/>
    <hyperlink ref="U17" r:id="rId50" xr:uid="{CABBCBCE-D583-4F73-B775-C0F0957771C2}"/>
    <hyperlink ref="V17" r:id="rId51" xr:uid="{C0EE8CB2-B23C-450F-B351-6E80558FB718}"/>
    <hyperlink ref="X17" r:id="rId52" xr:uid="{C4205633-57D5-4DD6-B7A0-9A6570C8C800}"/>
    <hyperlink ref="U18" r:id="rId53" xr:uid="{58F70ED4-8861-460A-A941-26C04771A6A5}"/>
    <hyperlink ref="V18" r:id="rId54" xr:uid="{C8972FD6-D88E-42B6-AE2A-2C9524BFF4EC}"/>
    <hyperlink ref="W18" r:id="rId55" xr:uid="{9CA89E4E-C7A6-4970-9900-1A55FA3DC74F}"/>
    <hyperlink ref="X18" r:id="rId56" xr:uid="{BC35CF3E-F8D9-42CA-9322-D66D328A3696}"/>
    <hyperlink ref="U19" r:id="rId57" xr:uid="{C4C2803B-118B-450D-A8E6-2B4E4078B4F4}"/>
    <hyperlink ref="V19" r:id="rId58" xr:uid="{0C50FE68-3073-4AD3-8C30-B01793E6DB01}"/>
    <hyperlink ref="W19" r:id="rId59" xr:uid="{9503D9B1-5A1D-4598-8B97-E87252E55B5C}"/>
    <hyperlink ref="X19" r:id="rId60" xr:uid="{FA52065B-FFCA-4253-8A9B-EAD6B5C700A9}"/>
    <hyperlink ref="U20" r:id="rId61" xr:uid="{7964542F-BD5D-420C-A653-0D406FD2F1B9}"/>
    <hyperlink ref="V20" r:id="rId62" xr:uid="{7737848E-5BF0-4DB7-BCFE-0801402157EC}"/>
    <hyperlink ref="W20" r:id="rId63" xr:uid="{0408DD99-6506-44EC-8379-D45F1F5FD787}"/>
    <hyperlink ref="X20" r:id="rId64" xr:uid="{0D4E291B-BBFF-4EDA-8258-82C66ACE68E0}"/>
    <hyperlink ref="U21" r:id="rId65" xr:uid="{BA91BCF2-1BCB-4C42-962B-B691DDE2B95E}"/>
    <hyperlink ref="V21" r:id="rId66" xr:uid="{439AD546-3F59-4679-9D74-50376B859BA6}"/>
    <hyperlink ref="X21" r:id="rId67" xr:uid="{7022BE44-7059-48B8-86D1-5400A32CEC42}"/>
    <hyperlink ref="U22" r:id="rId68" xr:uid="{0118C6BD-6D3E-4915-A88C-386FED5BAF52}"/>
    <hyperlink ref="V22" r:id="rId69" xr:uid="{807BD08A-F505-4466-A344-0A62A4A7A36C}"/>
    <hyperlink ref="W22" r:id="rId70" xr:uid="{26B2223F-93EA-4217-8D6A-28A705215955}"/>
    <hyperlink ref="X22" r:id="rId71" xr:uid="{6670DE45-74D5-4C34-8FC6-E11EC6125E35}"/>
    <hyperlink ref="U23" r:id="rId72" xr:uid="{E7CA74E5-2CDA-4C8A-B422-C818EEE83613}"/>
    <hyperlink ref="V23" r:id="rId73" xr:uid="{35AC1A89-9AA0-4F4B-A2A1-0E1FFE625852}"/>
    <hyperlink ref="W23" r:id="rId74" xr:uid="{918F7188-5576-42ED-9530-B4A43E4C4CC5}"/>
    <hyperlink ref="X23" r:id="rId75" xr:uid="{5CF6C3D7-EAEB-47CC-94F7-B6285EB6DD42}"/>
    <hyperlink ref="U24" r:id="rId76" xr:uid="{E1A2DA5B-AE8E-442A-967D-FDB628BDC924}"/>
    <hyperlink ref="V24" r:id="rId77" xr:uid="{C49F6890-93B4-4E5B-9FC4-A38171C07963}"/>
    <hyperlink ref="W24" r:id="rId78" xr:uid="{D0082366-8FFE-4760-B2F8-B02329DFA5B9}"/>
    <hyperlink ref="X24" r:id="rId79" xr:uid="{E5CB28BD-F8BD-4AD1-9DDF-EF68BF03A553}"/>
    <hyperlink ref="U25" r:id="rId80" xr:uid="{7FE4F5EC-3B3C-4BC0-A2E8-FB5BF28FE374}"/>
    <hyperlink ref="V25" r:id="rId81" xr:uid="{92478EA1-AE14-490F-8487-78619C16FBC3}"/>
    <hyperlink ref="X25" r:id="rId82" xr:uid="{B4C42EF2-F878-4CAE-9E4C-8027219B6D30}"/>
    <hyperlink ref="U26" r:id="rId83" xr:uid="{88605C68-F3D8-459A-B2BD-705156EB7A25}"/>
    <hyperlink ref="V26" r:id="rId84" xr:uid="{8F375607-EA18-4BDB-B936-3E8B3162395A}"/>
    <hyperlink ref="W26" r:id="rId85" xr:uid="{0B100F8D-4A99-44F7-9AAA-18AFF11963B0}"/>
    <hyperlink ref="U27" r:id="rId86" xr:uid="{7378445F-63C1-4933-BCBB-4217A8376AEF}"/>
    <hyperlink ref="V27" r:id="rId87" xr:uid="{609408E4-D310-4AAA-AE0F-491F2C7E0306}"/>
    <hyperlink ref="W27" r:id="rId88" xr:uid="{12A85933-7B62-4251-9DDD-2762425C87E4}"/>
    <hyperlink ref="X27" r:id="rId89" xr:uid="{D5FD3A1B-BB6A-4F38-B4F5-B18203EDF7EF}"/>
    <hyperlink ref="U28" r:id="rId90" xr:uid="{8F4C6928-FD68-4C0C-BEDD-8EF3FA59C8A6}"/>
    <hyperlink ref="V28" r:id="rId91" xr:uid="{D2CA4097-F182-47FC-BFE4-486A9446141F}"/>
    <hyperlink ref="W28" r:id="rId92" xr:uid="{30C333E4-51FD-42F8-85AE-3A2B17819CDD}"/>
    <hyperlink ref="X28" r:id="rId93" xr:uid="{C697959B-FEC2-4EEE-A464-12ACE2E4E6B0}"/>
    <hyperlink ref="U29" r:id="rId94" xr:uid="{14148B04-9C03-446D-9710-511F451BF5CD}"/>
    <hyperlink ref="V29" r:id="rId95" xr:uid="{F0CD0B32-7277-4B8E-9E9A-60E412EF605A}"/>
    <hyperlink ref="W29" r:id="rId96" xr:uid="{12206559-7A39-4CC6-AD1B-46116C490ED1}"/>
    <hyperlink ref="X29" r:id="rId97" xr:uid="{6F08EAFD-EF61-4B8E-8623-872BB46F1743}"/>
    <hyperlink ref="U30" r:id="rId98" xr:uid="{A30CDA79-83F0-4102-8F2E-49EE403D73AD}"/>
    <hyperlink ref="V30" r:id="rId99" xr:uid="{A1D6CA62-5AB4-4D99-8AA5-C457C7C96E23}"/>
    <hyperlink ref="W30" r:id="rId100" xr:uid="{3A5FF30B-3B14-449C-8674-927250ED0F19}"/>
    <hyperlink ref="X30" r:id="rId101" xr:uid="{556288A5-3ED8-4D40-8642-6225D91BE6A3}"/>
    <hyperlink ref="U31" r:id="rId102" xr:uid="{67AA8B3A-B50A-4C46-BB41-BD1500700BC9}"/>
    <hyperlink ref="V31" r:id="rId103" xr:uid="{6C80FFCB-6C9C-4C1D-8F97-5D5ED33D2E04}"/>
    <hyperlink ref="W31" r:id="rId104" xr:uid="{C0CAE8AE-8C4D-4FB5-8835-2732415A5848}"/>
    <hyperlink ref="X31" r:id="rId105" xr:uid="{62093E28-603B-4C75-9AD9-0FA8A8EAA92B}"/>
    <hyperlink ref="U32" r:id="rId106" xr:uid="{C93E48BF-A4E2-40E5-B794-44BE748FECFF}"/>
    <hyperlink ref="V32" r:id="rId107" xr:uid="{9A37D409-BB8D-43E2-9E67-7E22C38262DE}"/>
    <hyperlink ref="W32" r:id="rId108" xr:uid="{0B6855FF-AEA8-4429-96A9-EB840E2AC548}"/>
    <hyperlink ref="X32" r:id="rId109" xr:uid="{851C25A1-3A5D-49CA-90A9-2C07A5FC2D31}"/>
    <hyperlink ref="U33" r:id="rId110" xr:uid="{BFC72F42-BD63-490F-9A5F-249304ACAB94}"/>
    <hyperlink ref="V33" r:id="rId111" xr:uid="{F4ABDE7E-3849-4EB2-B359-92308053C2D0}"/>
    <hyperlink ref="W33" r:id="rId112" xr:uid="{39CC47C5-E27C-4D15-8366-18995F694D4D}"/>
    <hyperlink ref="X33" r:id="rId113" xr:uid="{0973F0A0-F246-4135-91C3-BCDB4022B69B}"/>
    <hyperlink ref="U34" r:id="rId114" xr:uid="{E0627294-079F-4D93-B0AB-680BCEBF04A7}"/>
    <hyperlink ref="V34" r:id="rId115" xr:uid="{1EA8C8C5-17CF-4AB6-86B3-B940AF53AF04}"/>
    <hyperlink ref="W34" r:id="rId116" xr:uid="{5CB991D7-EB0F-49B9-A1CC-E7B517EA7497}"/>
    <hyperlink ref="X34" r:id="rId117" xr:uid="{258784B4-7D62-4686-8FD9-268198C047EE}"/>
    <hyperlink ref="U35" r:id="rId118" xr:uid="{BA6E21FF-669A-4A62-9870-FF818366D7D0}"/>
    <hyperlink ref="V35" r:id="rId119" xr:uid="{3DC8FFAB-734A-4314-B54F-EABF89868C02}"/>
    <hyperlink ref="W35" r:id="rId120" xr:uid="{708568FB-C225-4F6E-912F-4A1B806A20BB}"/>
    <hyperlink ref="X35" r:id="rId121" xr:uid="{803E7794-076D-464A-A089-090F522374F7}"/>
    <hyperlink ref="U36" r:id="rId122" xr:uid="{AC14DA8F-4D2D-477C-995D-3F439F582B01}"/>
    <hyperlink ref="V36" r:id="rId123" xr:uid="{45BF6B29-0223-4AB2-9A03-DD51B15C078D}"/>
    <hyperlink ref="X36" r:id="rId124" xr:uid="{F03719BF-409D-4772-9EB1-2AB86F16F6A3}"/>
    <hyperlink ref="U37" r:id="rId125" xr:uid="{BFCFD6BE-B507-4DB3-AD20-BB6C76F2B6DC}"/>
    <hyperlink ref="V37" r:id="rId126" xr:uid="{D5530399-BF1B-44BD-AB3D-48D6EC63C5C9}"/>
    <hyperlink ref="X37" r:id="rId127" xr:uid="{D9E3AFCE-64EE-4B46-A602-4A93A24F3D28}"/>
    <hyperlink ref="U38" r:id="rId128" xr:uid="{6DEDB9B2-2770-4F58-A2D8-3FE4D10D8944}"/>
    <hyperlink ref="V38" r:id="rId129" xr:uid="{342EE9B3-57E7-4AE4-B762-857DBF54E92A}"/>
    <hyperlink ref="X38" r:id="rId130" xr:uid="{8819762E-1ABD-4D66-815D-DAE1FA03FBEB}"/>
    <hyperlink ref="U39" r:id="rId131" xr:uid="{C94EA869-5876-452F-8E01-3F8A6576CE73}"/>
    <hyperlink ref="V39" r:id="rId132" xr:uid="{FEA34FE3-C2C4-44DA-B716-9AC6B69887C8}"/>
    <hyperlink ref="W39" r:id="rId133" xr:uid="{01C97428-0630-471D-B216-C8B7A50A7AD9}"/>
    <hyperlink ref="X39" r:id="rId134" xr:uid="{A419126A-D3A6-479C-9830-F66D1F8BDBA2}"/>
    <hyperlink ref="U40" r:id="rId135" xr:uid="{894CEE8B-6F6D-4AA9-AAFB-9091582EFB9E}"/>
    <hyperlink ref="V40" r:id="rId136" xr:uid="{E94F2D77-5925-45AF-BA6B-5FC386EF2E67}"/>
    <hyperlink ref="W40" r:id="rId137" xr:uid="{F7C88AB4-B05F-4073-B49E-F0DAEF821069}"/>
    <hyperlink ref="X40" r:id="rId138" xr:uid="{133C79DA-F126-4C46-91CF-F10029D7BDD3}"/>
    <hyperlink ref="U41" r:id="rId139" xr:uid="{2F1E2530-0B87-418D-B751-59BCE3079115}"/>
    <hyperlink ref="V41" r:id="rId140" xr:uid="{5D174CDA-B2C8-498C-B13C-10CA0C1A712B}"/>
    <hyperlink ref="W41" r:id="rId141" xr:uid="{22539A30-A9BC-4892-B2EA-5C0CC44271B1}"/>
    <hyperlink ref="X41" r:id="rId142" xr:uid="{9435BECE-4C2E-4F25-BFAF-D82CF6494C4C}"/>
    <hyperlink ref="U42" r:id="rId143" xr:uid="{5FF4DCC7-15FF-433C-8914-E61CED61C49D}"/>
    <hyperlink ref="V42" r:id="rId144" xr:uid="{93C64831-21F0-4156-98CB-896CF9CC9FC8}"/>
    <hyperlink ref="W42" r:id="rId145" xr:uid="{51742480-CF1F-4E62-8BE1-3ADC4C9D3592}"/>
    <hyperlink ref="X42" r:id="rId146" xr:uid="{B68BE086-7928-4795-BFA9-6C99CFA086BE}"/>
    <hyperlink ref="U43" r:id="rId147" xr:uid="{6AAC6E43-1BEB-476D-B176-E9829F783F80}"/>
    <hyperlink ref="V43" r:id="rId148" xr:uid="{A7ECA785-BF1B-4155-B02C-F71259BE6504}"/>
    <hyperlink ref="W43" r:id="rId149" xr:uid="{68405735-469D-4C0E-A149-088FF907236A}"/>
    <hyperlink ref="X43" r:id="rId150" xr:uid="{18AA080B-C5EB-4482-B3DB-6C751E23CE57}"/>
    <hyperlink ref="U44" r:id="rId151" xr:uid="{CBEAE434-A402-4793-B945-B8843C6B78C2}"/>
    <hyperlink ref="V44" r:id="rId152" xr:uid="{D0A90D49-1628-4899-A82D-E8D91504C00B}"/>
    <hyperlink ref="W44" r:id="rId153" xr:uid="{40CB3DF2-5944-4898-997F-2E97DDE9EFF1}"/>
    <hyperlink ref="X44" r:id="rId154" xr:uid="{87194BE9-0DE4-4324-AC6A-991E697C9563}"/>
    <hyperlink ref="U45" r:id="rId155" xr:uid="{B293FE62-397B-48FB-96C8-EC7EEA85D7F2}"/>
    <hyperlink ref="V45" r:id="rId156" xr:uid="{70FFD98F-2A2C-4FFA-BD86-BAD6C4427400}"/>
    <hyperlink ref="W45" r:id="rId157" xr:uid="{0FCF52BF-D2C2-43A3-9530-E51FD88E85CB}"/>
    <hyperlink ref="X45" r:id="rId158" xr:uid="{96D1697A-64AC-4375-9702-061A649B6AFA}"/>
    <hyperlink ref="U46" r:id="rId159" xr:uid="{147C99A2-B5D0-4E67-8FA0-C541DB4A37AE}"/>
    <hyperlink ref="V46" r:id="rId160" xr:uid="{A9A315A8-117C-49B6-97C1-92EE0CB108EC}"/>
    <hyperlink ref="W46" r:id="rId161" xr:uid="{1E94CBC7-253C-414C-A9ED-24476AAFA640}"/>
    <hyperlink ref="X46" r:id="rId162" xr:uid="{F96F9756-2F53-48EF-B45F-CE45431B096E}"/>
  </hyperlinks>
  <pageMargins left="0.7" right="0.7" top="0.75" bottom="0.75" header="0.3" footer="0.3"/>
  <tableParts count="1">
    <tablePart r:id="rId16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2026-09-11T12:05:09Z</dcterms:modified>
</cp:coreProperties>
</file>