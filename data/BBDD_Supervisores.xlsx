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D9C18F64-19A4-4E76-A1F2-C22763B2F0EE}" xr6:coauthVersionLast="47" xr6:coauthVersionMax="47" xr10:uidLastSave="{00000000-0000-0000-0000-000000000000}"/>
  <bookViews>
    <workbookView xWindow="28680" yWindow="-120" windowWidth="29040" windowHeight="15720" xr2:uid="{00000000-000D-0000-FFFF-FFFF00000000}"/>
  </bookViews>
  <sheets>
    <sheet name="Respuestas de formulario 1" sheetId="1" r:id="rId1"/>
    <sheet name="masa de trabaj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27" i="1" l="1"/>
  <c r="AH3" i="1"/>
  <c r="AH4" i="1"/>
  <c r="AH5" i="1"/>
  <c r="AH6" i="1"/>
  <c r="AH7" i="1"/>
  <c r="AH9" i="1"/>
  <c r="AH10" i="1"/>
  <c r="AH11" i="1"/>
  <c r="AH12" i="1"/>
  <c r="AH13" i="1"/>
  <c r="AH14" i="1"/>
  <c r="AH15" i="1"/>
  <c r="AH16" i="1"/>
  <c r="AH18" i="1"/>
  <c r="AH19" i="1"/>
  <c r="AH20" i="1"/>
  <c r="AH21" i="1"/>
  <c r="AH22" i="1"/>
  <c r="AH24" i="1"/>
  <c r="AH25" i="1"/>
  <c r="AH2" i="1"/>
</calcChain>
</file>

<file path=xl/sharedStrings.xml><?xml version="1.0" encoding="utf-8"?>
<sst xmlns="http://schemas.openxmlformats.org/spreadsheetml/2006/main" count="665" uniqueCount="262">
  <si>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</si>
  <si>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</si>
  <si>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</si>
  <si>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</si>
  <si>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</si>
  <si>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</si>
  <si>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</si>
  <si>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</si>
  <si>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</si>
  <si>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</si>
  <si>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</si>
  <si>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</si>
  <si>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</si>
  <si>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</si>
  <si>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</si>
  <si>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</si>
  <si>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</si>
  <si>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</si>
  <si>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</si>
  <si>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</si>
  <si>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</si>
  <si>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</si>
  <si>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</si>
  <si>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</si>
  <si>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</si>
  <si>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</si>
  <si>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</si>
  <si>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</si>
  <si>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</si>
  <si>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</si>
  <si>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</si>
  <si>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</si>
  <si>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</si>
  <si>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</si>
  <si>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</si>
  <si>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</si>
  <si>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</si>
  <si>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</si>
  <si>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</si>
  <si>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</si>
  <si>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</si>
  <si>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</si>
  <si>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</si>
  <si>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</si>
  <si>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</si>
  <si>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</si>
  <si>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</si>
  <si>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</si>
  <si>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</si>
  <si>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</si>
  <si>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</si>
  <si>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</si>
  <si>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</si>
  <si>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</si>
  <si>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</si>
  <si>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</si>
  <si>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</si>
  <si>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</si>
  <si>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</si>
  <si>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</si>
  <si>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</si>
  <si>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</si>
  <si>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</si>
  <si>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</si>
  <si>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</si>
  <si>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</si>
  <si>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</si>
  <si>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</si>
  <si>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</si>
  <si>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</si>
  <si>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</si>
  <si>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</si>
  <si>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</si>
  <si>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</si>
  <si>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</si>
  <si>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</si>
  <si>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</si>
  <si>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</si>
  <si>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</si>
  <si>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</si>
  <si>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</si>
  <si>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</si>
  <si>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</si>
  <si>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</si>
  <si>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</si>
  <si>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</si>
  <si>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</si>
  <si>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</si>
  <si>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</si>
  <si>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</si>
  <si>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</si>
  <si>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</si>
  <si>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</si>
  <si>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</si>
  <si>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</si>
  <si>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</si>
  <si>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</si>
  <si>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</si>
  <si>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</si>
  <si>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</si>
  <si>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 xml:space="preserve">Nombre </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</si>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</sst>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3">
    <border>
      <left/>
      <right/>
      <top/>
      <bottom/>
      <diagonal/>
    </border>
    <border>
      <left/>
      <right/>
      <top style="thin">
        <color rgb="FF5B3F86"/>
      </top>
      <bottom/>
      <diagonal/>
    </border>
    <border>
      <left/>
      <right/>
      <top/>
      <bottom style="thin">
        <color rgb="FF5B3F86"/>
      </bottom>
      <diagonal/>
    </border>
  </borders>
  <cellStyleXfs count="2">
    <xf numFmtId="0" fontId="0" fillId="0" borderId="0"/>
    <xf numFmtId="0" fontId="4" fillId="5" borderId="0" applyNumberFormat="0" applyBorder="0" applyAlignment="0" applyProtection="0"/>
  </cellStyleXfs>
  <cellXfs count="19">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3" fillId="2" borderId="1" xfId="0" applyFont="1" applyFill="1" applyBorder="1"/>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0" fontId="1" fillId="4" borderId="2" xfId="0" applyFont="1" applyFill="1" applyBorder="1" applyAlignment="1">
      <alignment vertic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1" fillId="3" borderId="2" xfId="0" applyFont="1" applyFill="1" applyBorder="1" applyAlignment="1">
      <alignment vertical="center"/>
    </xf>
    <xf numFmtId="0" fontId="4" fillId="5" borderId="0" xfId="1" applyNumberFormat="1" applyAlignment="1">
      <alignment horizont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27" headerRowDxfId="34">
  <autoFilter ref="A1:AJ27" xr:uid="{00000000-000C-0000-FFFF-FFFF00000000}"/>
  <tableColumns count="36">
    <tableColumn id="1" xr3:uid="{00000000-0010-0000-0000-000001000000}" name="Marca temporal" dataDxfId="29"/>
    <tableColumn id="2" xr3:uid="{00000000-0010-0000-0000-000002000000}" name="Puntuación" dataDxfId="28"/>
    <tableColumn id="3" xr3:uid="{00000000-0010-0000-0000-000003000000}" name="N° PETICIÓN " dataDxfId="27"/>
    <tableColumn id="4" xr3:uid="{00000000-0010-0000-0000-000004000000}" name="Nombre Técnico" dataDxfId="26"/>
    <tableColumn id="5" xr3:uid="{00000000-0010-0000-0000-000005000000}" name="SUPERVISOR" dataDxfId="25"/>
    <tableColumn id="6" xr3:uid="{00000000-0010-0000-0000-000006000000}" name="Se ejecuto la actividad" dataDxfId="24"/>
    <tableColumn id="7" xr3:uid="{00000000-0010-0000-0000-000007000000}" name="Se concreta auditoria?" dataDxfId="23"/>
    <tableColumn id="8" xr3:uid="{00000000-0010-0000-0000-000008000000}" name="Motivo de la derivación" dataDxfId="33"/>
    <tableColumn id="9" xr3:uid="{00000000-0010-0000-0000-000009000000}" name="Auditoria" dataDxfId="22"/>
    <tableColumn id="10" xr3:uid="{00000000-0010-0000-0000-00000A000000}" name="Actividad" dataDxfId="21"/>
    <tableColumn id="11" xr3:uid="{00000000-0010-0000-0000-00000B000000}" name="Instala drop con soportes" dataDxfId="20"/>
    <tableColumn id="12" xr3:uid="{00000000-0010-0000-0000-00000C000000}" name="DIRECCIÓN (Calle - Numero) " dataDxfId="19"/>
    <tableColumn id="13" xr3:uid="{00000000-0010-0000-0000-00000D000000}" name="Instala Pasa-muros " dataDxfId="18"/>
    <tableColumn id="14" xr3:uid="{00000000-0010-0000-0000-00000E000000}" name="Roseta Óptica en norma y atornillada " dataDxfId="17"/>
    <tableColumn id="15" xr3:uid="{00000000-0010-0000-0000-00000F000000}" name="Repetidor Cableado" dataDxfId="16"/>
    <tableColumn id="16" xr3:uid="{00000000-0010-0000-0000-000010000000}" name="Cantidad Decodificadores" dataDxfId="15"/>
    <tableColumn id="17" xr3:uid="{00000000-0010-0000-0000-000011000000}" name="Capacitación  al Cliente" dataDxfId="14"/>
    <tableColumn id="18" xr3:uid="{00000000-0010-0000-0000-000012000000}" name="Deja Área de Trabajo Limpio " dataDxfId="13"/>
    <tableColumn id="19" xr3:uid="{00000000-0010-0000-0000-000013000000}" name="Quien recibe en domicilio" dataDxfId="12"/>
    <tableColumn id="20" xr3:uid="{00000000-0010-0000-0000-000014000000}" name="Nota de Estética del cableado " dataDxfId="11"/>
    <tableColumn id="21" xr3:uid="{00000000-0010-0000-0000-000015000000}" name="Fotografía  Módem" dataDxfId="10"/>
    <tableColumn id="22" xr3:uid="{00000000-0010-0000-0000-000016000000}" name="Fotografía Roseta  Óptica Atornillada " dataDxfId="9"/>
    <tableColumn id="23" xr3:uid="{00000000-0010-0000-0000-000017000000}" name="Fotografías Pasa-muros " dataDxfId="8"/>
    <tableColumn id="24" xr3:uid="{00000000-0010-0000-0000-000018000000}" name="Fotografías" dataDxfId="7"/>
    <tableColumn id="25" xr3:uid="{00000000-0010-0000-0000-000019000000}" name="Estado Auditoria " dataDxfId="6"/>
    <tableColumn id="26" xr3:uid="{00000000-0010-0000-0000-00001A000000}" name="Técnico cumple correctamente con su función?  " dataDxfId="5"/>
    <tableColumn id="27" xr3:uid="{00000000-0010-0000-0000-00001B000000}" name="Con que nota se evalúa al técnico " dataDxfId="4"/>
    <tableColumn id="28" xr3:uid="{00000000-0010-0000-0000-00001C000000}" name="Observaciones (detallar observaciones)" dataDxfId="3"/>
    <tableColumn id="33" xr3:uid="{6654FF87-3155-4898-9A65-816C7D124028}" name="Utiliza OneClick para realizar limpieza a conectores " dataDxfId="32"/>
    <tableColumn id="36" xr3:uid="{2662FBBF-EEE5-4E82-98C0-8584BF84424E}" name="Drop se encuentra encuentra dentro de norma de instalaciones " dataDxfId="2"/>
    <tableColumn id="35" xr3:uid="{CF2913D1-167E-463D-9DEB-ADD1D59E4B8D}" name="Reutiliza Instalación " dataDxfId="1"/>
    <tableColumn id="34" xr3:uid="{1C1000A3-E2F8-4E7C-A510-442774329E98}" name="Utiliza Alcohol isopropilico " dataDxfId="31"/>
    <tableColumn id="32" xr3:uid="{54579B12-B98C-417C-A72D-BAB0E503080E}" name="Reutiliza Instalación de otra compañía " dataDxfId="0"/>
    <tableColumn id="29" xr3:uid="{B3B22204-0EB9-42F6-9D1A-876CFB34A91A}" name="Se llevó a cabo la mesa de trabajo." dataDxfId="30" dataCellStyle="Bueno">
      <calculatedColumnFormula>IFERROR(VLOOKUP(Form_Responses[[#This Row],[Nombre Técnico]],'masa de trabajo'!$B:$C,2,0),"")</calculatedColumnFormula>
    </tableColumn>
    <tableColumn id="30" xr3:uid="{D5B9DC4A-17D5-4220-A758-C20FA12AC150}" name="Se cerró el proceso con el técnico?" dataCellStyle="Bueno"/>
    <tableColumn id="31" xr3:uid="{6A4280CD-66D9-45AA-9502-7B76CE3469BE}" name="Observaciones " dataCellStyle="Buen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open?id=1nF8b6PoUw5jmaMs3GmfPKH9f_sIPQnnU"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47" Type="http://schemas.openxmlformats.org/officeDocument/2006/relationships/hyperlink" Target="https://drive.google.com/open?id=19fja4M2CuNqJHfMYCUY4xkR30-WEqb0T" TargetMode="External"/><Relationship Id="rId63" Type="http://schemas.openxmlformats.org/officeDocument/2006/relationships/hyperlink" Target="https://drive.google.com/open?id=1_umJ2T0gHpdeAPP5rTnZeH-iCcxKr8BQ" TargetMode="External"/><Relationship Id="rId68" Type="http://schemas.openxmlformats.org/officeDocument/2006/relationships/hyperlink" Target="https://drive.google.com/open?id=1yh0RqesENYxgJioTiLC6eCgf_izZmf_X" TargetMode="External"/><Relationship Id="rId84" Type="http://schemas.openxmlformats.org/officeDocument/2006/relationships/hyperlink" Target="https://drive.google.com/open?id=1Ys6nt4mKfVNhwTJ1l5mGZmPtCDTs2wiD" TargetMode="External"/><Relationship Id="rId89" Type="http://schemas.openxmlformats.org/officeDocument/2006/relationships/hyperlink" Target="https://drive.google.com/open?id=1m-eN6jCH8z1x3lEFlvmJ5RNYEoGDthmr" TargetMode="External"/><Relationship Id="rId16" Type="http://schemas.openxmlformats.org/officeDocument/2006/relationships/hyperlink" Target="https://drive.google.com/open?id=1cAg185xHKS5Jvh4Ti7ijYMyyD7sf934v"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37" Type="http://schemas.openxmlformats.org/officeDocument/2006/relationships/hyperlink" Target="https://drive.google.com/open?id=13PPlqo63EbZRR7L89FEGqMnXDfQv8n-r" TargetMode="External"/><Relationship Id="rId53" Type="http://schemas.openxmlformats.org/officeDocument/2006/relationships/hyperlink" Target="https://drive.google.com/open?id=15KDgPCFq3sfPmtt5xX54MeAKk9jAUKVI" TargetMode="External"/><Relationship Id="rId58" Type="http://schemas.openxmlformats.org/officeDocument/2006/relationships/hyperlink" Target="https://drive.google.com/open?id=11NCk5q4BXejTZqIpnwKMwpnaeKMX6obP" TargetMode="External"/><Relationship Id="rId74" Type="http://schemas.openxmlformats.org/officeDocument/2006/relationships/hyperlink" Target="https://drive.google.com/open?id=175wmetPS8lkwNiPqFoJHg0ClHU-Xlywv" TargetMode="External"/><Relationship Id="rId79" Type="http://schemas.openxmlformats.org/officeDocument/2006/relationships/hyperlink" Target="https://drive.google.com/open?id=1xs2ayM4xI8WCoz54-Cy2bCmBOVwH4tJE" TargetMode="External"/><Relationship Id="rId5" Type="http://schemas.openxmlformats.org/officeDocument/2006/relationships/hyperlink" Target="https://drive.google.com/open?id=12iqDQ8PRPzKO0ZtxepVFD_lo9Oak1i0A" TargetMode="External"/><Relationship Id="rId90" Type="http://schemas.openxmlformats.org/officeDocument/2006/relationships/table" Target="../tables/table1.xml"/><Relationship Id="rId14" Type="http://schemas.openxmlformats.org/officeDocument/2006/relationships/hyperlink" Target="https://drive.google.com/open?id=1IfDHf1Ap0Yyo32pZFKUGiyCTMwkquF8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56" Type="http://schemas.openxmlformats.org/officeDocument/2006/relationships/hyperlink" Target="https://drive.google.com/open?id=1mT_0H1IUWykWAH58LpNzTr7AD2cAcUIN"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77" Type="http://schemas.openxmlformats.org/officeDocument/2006/relationships/hyperlink" Target="https://drive.google.com/open?id=1pn2uyjHZOjP3PxgwzAGWRciKrmPfAeUp"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80" Type="http://schemas.openxmlformats.org/officeDocument/2006/relationships/hyperlink" Target="https://drive.google.com/open?id=1Y8Cfh87znZW3suakDsP6fLxmlQ9Phsz-" TargetMode="External"/><Relationship Id="rId85" Type="http://schemas.openxmlformats.org/officeDocument/2006/relationships/hyperlink" Target="https://drive.google.com/open?id=1_rR7gN5y9InaQxMnPBe41qRYzIVGu2lO" TargetMode="External"/><Relationship Id="rId3" Type="http://schemas.openxmlformats.org/officeDocument/2006/relationships/hyperlink" Target="https://drive.google.com/open?id=1KsGJ-oxout_7n7kZQlBeuIYexSo59vI8"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25" Type="http://schemas.openxmlformats.org/officeDocument/2006/relationships/hyperlink" Target="https://drive.google.com/open?id=1hUQTu7-Yh2d6RG0qCUag9TKWRnYl2eLN"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46" Type="http://schemas.openxmlformats.org/officeDocument/2006/relationships/hyperlink" Target="https://drive.google.com/open?id=1VJeC8kIARVBAXRJhaBg-HWlg535qIcyR" TargetMode="External"/><Relationship Id="rId59" Type="http://schemas.openxmlformats.org/officeDocument/2006/relationships/hyperlink" Target="https://drive.google.com/open?id=1gY7a-UzONH12AZX1pFa3JgqUrQtTqrdB" TargetMode="External"/><Relationship Id="rId67" Type="http://schemas.openxmlformats.org/officeDocument/2006/relationships/hyperlink" Target="https://drive.google.com/open?id=19H2kjEx3lwbXwq9aKGzDGUKndI7loOGq"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54" Type="http://schemas.openxmlformats.org/officeDocument/2006/relationships/hyperlink" Target="https://drive.google.com/open?id=1K-xGQrbagf4oW-D6DTh5YlQTXxo403UC" TargetMode="External"/><Relationship Id="rId62" Type="http://schemas.openxmlformats.org/officeDocument/2006/relationships/hyperlink" Target="https://drive.google.com/open?id=1o_Awr_qJTuOGbya23lKOgpt8Qe3P_lbn"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15" Type="http://schemas.openxmlformats.org/officeDocument/2006/relationships/hyperlink" Target="https://drive.google.com/open?id=1Ct3HMcGgtkRN1ays-ZSxeiG2cr3txlbM"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36" Type="http://schemas.openxmlformats.org/officeDocument/2006/relationships/hyperlink" Target="https://drive.google.com/open?id=1HSK3BJ7Qx0WE7hATyxPl7JT9fsOOK1DZ" TargetMode="External"/><Relationship Id="rId49" Type="http://schemas.openxmlformats.org/officeDocument/2006/relationships/hyperlink" Target="https://drive.google.com/open?id=14TYRsLkplV2F4PgRT-NqLGyJXyvd-eYE" TargetMode="External"/><Relationship Id="rId57" Type="http://schemas.openxmlformats.org/officeDocument/2006/relationships/hyperlink" Target="https://drive.google.com/open?id=12wtFt_wPMKaaRNepL8OxbL8THTvW1rpz"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44" Type="http://schemas.openxmlformats.org/officeDocument/2006/relationships/hyperlink" Target="https://drive.google.com/open?id=1wg6HKw0vboOMxwjSBYFMyCoNLjQe2glH" TargetMode="External"/><Relationship Id="rId52" Type="http://schemas.openxmlformats.org/officeDocument/2006/relationships/hyperlink" Target="https://drive.google.com/open?id=1qYERsMZYaQUmpyStu7SKkCOMWtWdsSgj"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9" Type="http://schemas.openxmlformats.org/officeDocument/2006/relationships/hyperlink" Target="https://drive.google.com/open?id=1YKKAkGD4EQW-dPfPbHSEbpsBuE7HuDQ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27"/>
  <sheetViews>
    <sheetView tabSelected="1" workbookViewId="0">
      <pane ySplit="1" topLeftCell="A2" activePane="bottomLeft" state="frozen"/>
      <selection pane="bottomLeft" sqref="A1:AG27"/>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3" bestFit="1" customWidth="1"/>
    <col min="35" max="35" width="35.6640625" style="14" bestFit="1" customWidth="1"/>
    <col min="36" max="36" width="76" style="14" bestFit="1" customWidth="1"/>
    <col min="37" max="39" width="18.88671875" customWidth="1"/>
  </cols>
  <sheetData>
    <row r="1" spans="1:36" s="5" customFormat="1" ht="22.5" customHeight="1" x14ac:dyDescent="0.25">
      <c r="A1" s="15" t="s">
        <v>0</v>
      </c>
      <c r="B1" s="15" t="s">
        <v>1</v>
      </c>
      <c r="C1" s="16" t="s">
        <v>2</v>
      </c>
      <c r="D1" s="16" t="s">
        <v>3</v>
      </c>
      <c r="E1" s="16" t="s">
        <v>4</v>
      </c>
      <c r="F1" s="16" t="s">
        <v>5</v>
      </c>
      <c r="G1" s="16" t="s">
        <v>6</v>
      </c>
      <c r="H1" s="16" t="s">
        <v>7</v>
      </c>
      <c r="I1" s="16" t="s">
        <v>119</v>
      </c>
      <c r="J1" s="16" t="s">
        <v>120</v>
      </c>
      <c r="K1" s="16" t="s">
        <v>121</v>
      </c>
      <c r="L1" s="15" t="s">
        <v>133</v>
      </c>
      <c r="M1" s="15" t="s">
        <v>134</v>
      </c>
      <c r="N1" s="15" t="s">
        <v>135</v>
      </c>
      <c r="O1" s="16" t="s">
        <v>8</v>
      </c>
      <c r="P1" s="16" t="s">
        <v>9</v>
      </c>
      <c r="Q1" s="16" t="s">
        <v>10</v>
      </c>
      <c r="R1" s="15" t="s">
        <v>136</v>
      </c>
      <c r="S1" s="15" t="s">
        <v>137</v>
      </c>
      <c r="T1" s="16" t="s">
        <v>11</v>
      </c>
      <c r="U1" s="16" t="s">
        <v>12</v>
      </c>
      <c r="V1" s="15" t="s">
        <v>138</v>
      </c>
      <c r="W1" s="15" t="s">
        <v>139</v>
      </c>
      <c r="X1" s="16" t="s">
        <v>13</v>
      </c>
      <c r="Y1" s="15" t="s">
        <v>140</v>
      </c>
      <c r="Z1" s="16" t="s">
        <v>14</v>
      </c>
      <c r="AA1" s="15" t="s">
        <v>141</v>
      </c>
      <c r="AB1" s="15" t="s">
        <v>142</v>
      </c>
      <c r="AC1" s="16" t="s">
        <v>122</v>
      </c>
      <c r="AD1" s="16" t="s">
        <v>123</v>
      </c>
      <c r="AE1" s="16" t="s">
        <v>124</v>
      </c>
      <c r="AF1" s="16" t="s">
        <v>125</v>
      </c>
      <c r="AG1" s="16" t="s">
        <v>126</v>
      </c>
      <c r="AH1" s="13" t="s">
        <v>48</v>
      </c>
      <c r="AI1" s="14" t="s">
        <v>49</v>
      </c>
      <c r="AJ1" s="14"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3" t="str">
        <f>IFERROR(VLOOKUP(Form_Responses[[#This Row],[Nombre Técnico]],'masa de trabajo'!$B:$C,2,0),"")</f>
        <v>SI</v>
      </c>
      <c r="AI2" s="14" t="s">
        <v>23</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3" t="str">
        <f>IFERROR(VLOOKUP(Form_Responses[[#This Row],[Nombre Técnico]],'masa de trabajo'!$B:$C,2,0),"")</f>
        <v>SI</v>
      </c>
      <c r="AI3" s="14" t="s">
        <v>23</v>
      </c>
      <c r="AJ3" s="14" t="s">
        <v>118</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3" t="str">
        <f>IFERROR(VLOOKUP(Form_Responses[[#This Row],[Nombre Técnico]],'masa de trabajo'!$B:$C,2,0),"")</f>
        <v>SI</v>
      </c>
      <c r="AI4" s="14" t="s">
        <v>23</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3" t="str">
        <f>IFERROR(VLOOKUP(Form_Responses[[#This Row],[Nombre Técnico]],'masa de trabajo'!$B:$C,2,0),"")</f>
        <v>SI</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3" t="str">
        <f>IFERROR(VLOOKUP(Form_Responses[[#This Row],[Nombre Técnico]],'masa de trabajo'!$B:$C,2,0),"")</f>
        <v>SI</v>
      </c>
      <c r="AI6" s="14" t="s">
        <v>23</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3" t="str">
        <f>IFERROR(VLOOKUP(Form_Responses[[#This Row],[Nombre Técnico]],'masa de trabajo'!$B:$C,2,0),"")</f>
        <v>SI</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3" t="s">
        <v>23</v>
      </c>
      <c r="AI8" s="14" t="s">
        <v>23</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3" t="str">
        <f>IFERROR(VLOOKUP(Form_Responses[[#This Row],[Nombre Técnico]],'masa de trabajo'!$B:$C,2,0),"")</f>
        <v>SI</v>
      </c>
    </row>
    <row r="10" spans="1:36" ht="15.75" customHeight="1" x14ac:dyDescent="0.25">
      <c r="A10" s="1">
        <v>46247.535424652779</v>
      </c>
      <c r="B10" s="2">
        <v>0</v>
      </c>
      <c r="C10" s="3" t="s">
        <v>101</v>
      </c>
      <c r="D10" s="3" t="s">
        <v>102</v>
      </c>
      <c r="E10" s="3" t="s">
        <v>17</v>
      </c>
      <c r="F10" s="3" t="s">
        <v>18</v>
      </c>
      <c r="G10" s="3" t="s">
        <v>18</v>
      </c>
      <c r="I10" s="3" t="s">
        <v>19</v>
      </c>
      <c r="J10" s="3" t="s">
        <v>20</v>
      </c>
      <c r="K10" s="3" t="s">
        <v>21</v>
      </c>
      <c r="L10" s="3" t="s">
        <v>103</v>
      </c>
      <c r="N10" s="3" t="s">
        <v>21</v>
      </c>
      <c r="P10" s="3">
        <v>2</v>
      </c>
      <c r="Q10" s="3" t="s">
        <v>23</v>
      </c>
      <c r="R10" s="3" t="s">
        <v>23</v>
      </c>
      <c r="S10" s="3" t="s">
        <v>104</v>
      </c>
      <c r="T10" s="3">
        <v>4</v>
      </c>
      <c r="U10" s="4" t="s">
        <v>105</v>
      </c>
      <c r="V10" s="4" t="s">
        <v>106</v>
      </c>
      <c r="X10" s="4" t="s">
        <v>107</v>
      </c>
      <c r="Y10" s="3" t="s">
        <v>30</v>
      </c>
      <c r="Z10" s="3" t="s">
        <v>30</v>
      </c>
      <c r="AA10" s="3">
        <v>6</v>
      </c>
      <c r="AB10" s="3" t="s">
        <v>108</v>
      </c>
      <c r="AC10" s="3"/>
      <c r="AD10" s="3"/>
      <c r="AE10" s="3"/>
      <c r="AF10" s="3"/>
      <c r="AG10" s="3"/>
      <c r="AH10" s="13" t="str">
        <f>IFERROR(VLOOKUP(Form_Responses[[#This Row],[Nombre Técnico]],'masa de trabajo'!$B:$C,2,0),"")</f>
        <v>SI</v>
      </c>
      <c r="AI10" s="14" t="s">
        <v>23</v>
      </c>
    </row>
    <row r="11" spans="1:36" ht="15.75" customHeight="1" x14ac:dyDescent="0.25">
      <c r="A11" s="1">
        <v>46247.71862049769</v>
      </c>
      <c r="B11" s="2">
        <v>0</v>
      </c>
      <c r="C11" s="3" t="s">
        <v>109</v>
      </c>
      <c r="D11" s="3" t="s">
        <v>110</v>
      </c>
      <c r="E11" s="3" t="s">
        <v>53</v>
      </c>
      <c r="F11" s="3" t="s">
        <v>18</v>
      </c>
      <c r="G11" s="3" t="s">
        <v>18</v>
      </c>
      <c r="I11" s="3" t="s">
        <v>19</v>
      </c>
      <c r="J11" s="3" t="s">
        <v>41</v>
      </c>
      <c r="K11" s="3" t="s">
        <v>21</v>
      </c>
      <c r="L11" s="3" t="s">
        <v>111</v>
      </c>
      <c r="M11" s="3" t="s">
        <v>23</v>
      </c>
      <c r="N11" s="3" t="s">
        <v>21</v>
      </c>
      <c r="Q11" s="3" t="s">
        <v>23</v>
      </c>
      <c r="R11" s="3" t="s">
        <v>23</v>
      </c>
      <c r="S11" s="3" t="s">
        <v>112</v>
      </c>
      <c r="T11" s="3">
        <v>4</v>
      </c>
      <c r="U11" s="4" t="s">
        <v>113</v>
      </c>
      <c r="V11" s="4" t="s">
        <v>114</v>
      </c>
      <c r="W11" s="4" t="s">
        <v>115</v>
      </c>
      <c r="X11" s="4" t="s">
        <v>116</v>
      </c>
      <c r="Y11" s="3" t="s">
        <v>30</v>
      </c>
      <c r="Z11" s="3" t="s">
        <v>30</v>
      </c>
      <c r="AA11" s="3">
        <v>10</v>
      </c>
      <c r="AB11" s="3" t="s">
        <v>117</v>
      </c>
      <c r="AC11" s="3"/>
      <c r="AD11" s="3"/>
      <c r="AE11" s="3"/>
      <c r="AF11" s="3"/>
      <c r="AG11" s="3"/>
      <c r="AH11" s="13" t="str">
        <f>IFERROR(VLOOKUP(Form_Responses[[#This Row],[Nombre Técnico]],'masa de trabajo'!$B:$C,2,0),"")</f>
        <v/>
      </c>
      <c r="AI11" s="14" t="s">
        <v>238</v>
      </c>
    </row>
    <row r="12" spans="1:36" ht="15.75" customHeight="1" x14ac:dyDescent="0.25">
      <c r="A12" s="1">
        <v>46248.497756516204</v>
      </c>
      <c r="B12" s="12">
        <v>8</v>
      </c>
      <c r="C12" s="3" t="s">
        <v>127</v>
      </c>
      <c r="D12" s="3" t="s">
        <v>128</v>
      </c>
      <c r="E12" s="3" t="s">
        <v>17</v>
      </c>
      <c r="F12" s="3" t="s">
        <v>18</v>
      </c>
      <c r="G12" s="3" t="s">
        <v>18</v>
      </c>
      <c r="I12" s="3" t="s">
        <v>129</v>
      </c>
      <c r="J12" s="3" t="s">
        <v>41</v>
      </c>
      <c r="K12" s="3" t="s">
        <v>23</v>
      </c>
      <c r="L12" s="3" t="s">
        <v>130</v>
      </c>
      <c r="M12" s="3" t="s">
        <v>23</v>
      </c>
      <c r="N12" s="3" t="s">
        <v>23</v>
      </c>
      <c r="Q12" s="3" t="s">
        <v>23</v>
      </c>
      <c r="R12" s="3" t="s">
        <v>23</v>
      </c>
      <c r="S12" s="3" t="s">
        <v>131</v>
      </c>
      <c r="T12" s="3">
        <v>4</v>
      </c>
      <c r="AB12" s="3" t="s">
        <v>132</v>
      </c>
      <c r="AC12" s="3" t="s">
        <v>23</v>
      </c>
      <c r="AD12" s="3" t="s">
        <v>23</v>
      </c>
      <c r="AE12" s="3" t="s">
        <v>21</v>
      </c>
      <c r="AF12" s="3" t="s">
        <v>23</v>
      </c>
      <c r="AG12" s="3" t="s">
        <v>21</v>
      </c>
      <c r="AH12" s="13" t="str">
        <f>IFERROR(VLOOKUP(Form_Responses[[#This Row],[Nombre Técnico]],'masa de trabajo'!$B:$C,2,0),"")</f>
        <v>SI</v>
      </c>
      <c r="AI12" s="14" t="s">
        <v>23</v>
      </c>
    </row>
    <row r="13" spans="1:36" ht="15.75" customHeight="1" x14ac:dyDescent="0.25">
      <c r="A13" s="1">
        <v>46251.615196585648</v>
      </c>
      <c r="B13" s="12">
        <v>7</v>
      </c>
      <c r="C13" s="3" t="s">
        <v>143</v>
      </c>
      <c r="D13" s="3" t="s">
        <v>144</v>
      </c>
      <c r="E13" s="3" t="s">
        <v>53</v>
      </c>
      <c r="F13" s="3" t="s">
        <v>18</v>
      </c>
      <c r="G13" s="3" t="s">
        <v>18</v>
      </c>
      <c r="I13" s="3" t="s">
        <v>129</v>
      </c>
      <c r="J13" s="3" t="s">
        <v>41</v>
      </c>
      <c r="K13" s="3" t="s">
        <v>23</v>
      </c>
      <c r="L13" s="3" t="s">
        <v>145</v>
      </c>
      <c r="M13" s="3" t="s">
        <v>21</v>
      </c>
      <c r="N13" s="3" t="s">
        <v>23</v>
      </c>
      <c r="Q13" s="3" t="s">
        <v>23</v>
      </c>
      <c r="R13" s="3" t="s">
        <v>23</v>
      </c>
      <c r="S13" s="3" t="s">
        <v>146</v>
      </c>
      <c r="T13" s="3">
        <v>4</v>
      </c>
      <c r="U13" s="4" t="s">
        <v>147</v>
      </c>
      <c r="V13" s="4" t="s">
        <v>148</v>
      </c>
      <c r="W13" s="4" t="s">
        <v>149</v>
      </c>
      <c r="X13" s="4" t="s">
        <v>150</v>
      </c>
      <c r="Y13" s="3" t="s">
        <v>30</v>
      </c>
      <c r="Z13" s="3" t="s">
        <v>30</v>
      </c>
      <c r="AA13" s="3">
        <v>8</v>
      </c>
      <c r="AB13" s="3" t="s">
        <v>151</v>
      </c>
      <c r="AD13" s="3" t="s">
        <v>23</v>
      </c>
      <c r="AE13" s="3" t="s">
        <v>21</v>
      </c>
      <c r="AG13" s="3" t="s">
        <v>21</v>
      </c>
      <c r="AH13" s="13" t="str">
        <f>IFERROR(VLOOKUP(Form_Responses[[#This Row],[Nombre Técnico]],'masa de trabajo'!$B:$C,2,0),"")</f>
        <v>SI</v>
      </c>
    </row>
    <row r="14" spans="1:36" ht="15.75" customHeight="1" x14ac:dyDescent="0.25">
      <c r="A14" s="1">
        <v>46251.636683425924</v>
      </c>
      <c r="B14" s="12">
        <v>1</v>
      </c>
      <c r="C14" s="3" t="s">
        <v>152</v>
      </c>
      <c r="D14" s="3" t="s">
        <v>144</v>
      </c>
      <c r="E14" s="3" t="s">
        <v>53</v>
      </c>
      <c r="F14" s="3" t="s">
        <v>18</v>
      </c>
      <c r="G14" s="3" t="s">
        <v>77</v>
      </c>
      <c r="I14" s="3" t="s">
        <v>129</v>
      </c>
      <c r="J14" s="3" t="s">
        <v>41</v>
      </c>
      <c r="K14" s="3" t="s">
        <v>21</v>
      </c>
      <c r="L14" s="3" t="s">
        <v>153</v>
      </c>
      <c r="M14" s="3" t="s">
        <v>21</v>
      </c>
      <c r="W14" s="4" t="s">
        <v>154</v>
      </c>
      <c r="X14" s="4" t="s">
        <v>155</v>
      </c>
      <c r="Y14" s="3" t="s">
        <v>72</v>
      </c>
      <c r="AA14" s="3">
        <v>7</v>
      </c>
      <c r="AB14" s="3" t="s">
        <v>156</v>
      </c>
      <c r="AD14" s="3" t="s">
        <v>23</v>
      </c>
      <c r="AE14" s="3" t="s">
        <v>21</v>
      </c>
      <c r="AG14" s="3" t="s">
        <v>21</v>
      </c>
      <c r="AH14" s="13" t="str">
        <f>IFERROR(VLOOKUP(Form_Responses[[#This Row],[Nombre Técnico]],'masa de trabajo'!$B:$C,2,0),"")</f>
        <v>SI</v>
      </c>
    </row>
    <row r="15" spans="1:36" ht="15.75" customHeight="1" x14ac:dyDescent="0.25">
      <c r="A15" s="1">
        <v>46252.401138136571</v>
      </c>
      <c r="B15" s="12">
        <v>9</v>
      </c>
      <c r="C15" s="3" t="s">
        <v>157</v>
      </c>
      <c r="D15" s="3" t="s">
        <v>158</v>
      </c>
      <c r="E15" s="3" t="s">
        <v>17</v>
      </c>
      <c r="F15" s="3" t="s">
        <v>18</v>
      </c>
      <c r="G15" s="3" t="s">
        <v>18</v>
      </c>
      <c r="I15" s="3" t="s">
        <v>19</v>
      </c>
      <c r="J15" s="3" t="s">
        <v>20</v>
      </c>
      <c r="K15" s="3" t="s">
        <v>23</v>
      </c>
      <c r="L15" s="3" t="s">
        <v>159</v>
      </c>
      <c r="N15" s="3" t="s">
        <v>23</v>
      </c>
      <c r="Q15" s="3" t="s">
        <v>23</v>
      </c>
      <c r="R15" s="3" t="s">
        <v>23</v>
      </c>
      <c r="S15" s="3" t="s">
        <v>160</v>
      </c>
      <c r="T15" s="3">
        <v>4</v>
      </c>
      <c r="U15" s="4" t="s">
        <v>161</v>
      </c>
      <c r="V15" s="4" t="s">
        <v>162</v>
      </c>
      <c r="X15" s="4" t="s">
        <v>163</v>
      </c>
      <c r="Y15" s="3" t="s">
        <v>30</v>
      </c>
      <c r="Z15" s="3" t="s">
        <v>30</v>
      </c>
      <c r="AA15" s="3">
        <v>7</v>
      </c>
      <c r="AB15" s="3" t="s">
        <v>164</v>
      </c>
      <c r="AC15" s="3" t="s">
        <v>23</v>
      </c>
      <c r="AD15" s="3" t="s">
        <v>23</v>
      </c>
      <c r="AE15" s="3" t="s">
        <v>21</v>
      </c>
      <c r="AF15" s="3" t="s">
        <v>23</v>
      </c>
      <c r="AG15" s="3" t="s">
        <v>21</v>
      </c>
      <c r="AH15" s="13" t="str">
        <f>IFERROR(VLOOKUP(Form_Responses[[#This Row],[Nombre Técnico]],'masa de trabajo'!$B:$C,2,0),"")</f>
        <v/>
      </c>
      <c r="AI15" s="14" t="s">
        <v>238</v>
      </c>
    </row>
    <row r="16" spans="1:36" ht="15.75" customHeight="1" x14ac:dyDescent="0.25">
      <c r="A16" s="1">
        <v>46252.407164965276</v>
      </c>
      <c r="B16" s="12">
        <v>7</v>
      </c>
      <c r="C16" s="3" t="s">
        <v>165</v>
      </c>
      <c r="D16" s="3" t="s">
        <v>166</v>
      </c>
      <c r="E16" s="3" t="s">
        <v>17</v>
      </c>
      <c r="F16" s="3" t="s">
        <v>77</v>
      </c>
      <c r="G16" s="3" t="s">
        <v>18</v>
      </c>
      <c r="I16" s="3" t="s">
        <v>19</v>
      </c>
      <c r="J16" s="3" t="s">
        <v>20</v>
      </c>
      <c r="K16" s="3" t="s">
        <v>23</v>
      </c>
      <c r="L16" s="3" t="s">
        <v>167</v>
      </c>
      <c r="M16" s="3" t="s">
        <v>23</v>
      </c>
      <c r="N16" s="3" t="s">
        <v>23</v>
      </c>
      <c r="R16" s="3" t="s">
        <v>23</v>
      </c>
      <c r="S16" s="3" t="s">
        <v>168</v>
      </c>
      <c r="T16" s="3">
        <v>3</v>
      </c>
      <c r="U16" s="4" t="s">
        <v>169</v>
      </c>
      <c r="V16" s="4" t="s">
        <v>170</v>
      </c>
      <c r="W16" s="4" t="s">
        <v>171</v>
      </c>
      <c r="X16" s="4" t="s">
        <v>172</v>
      </c>
      <c r="Y16" s="3" t="s">
        <v>72</v>
      </c>
      <c r="Z16" s="3" t="s">
        <v>72</v>
      </c>
      <c r="AA16" s="3">
        <v>4</v>
      </c>
      <c r="AB16" s="3" t="s">
        <v>173</v>
      </c>
      <c r="AC16" s="3" t="s">
        <v>23</v>
      </c>
      <c r="AD16" s="3" t="s">
        <v>23</v>
      </c>
      <c r="AE16" s="3" t="s">
        <v>21</v>
      </c>
      <c r="AF16" s="3" t="s">
        <v>23</v>
      </c>
      <c r="AG16" s="3" t="s">
        <v>21</v>
      </c>
      <c r="AH16" s="13" t="str">
        <f>IFERROR(VLOOKUP(Form_Responses[[#This Row],[Nombre Técnico]],'masa de trabajo'!$B:$C,2,0),"")</f>
        <v/>
      </c>
      <c r="AI16" s="14" t="s">
        <v>238</v>
      </c>
    </row>
    <row r="17" spans="1:35" ht="15.75" customHeight="1" x14ac:dyDescent="0.25">
      <c r="A17" s="1">
        <v>46252.439018576391</v>
      </c>
      <c r="B17" s="12">
        <v>6</v>
      </c>
      <c r="C17" s="3" t="s">
        <v>174</v>
      </c>
      <c r="D17" s="3" t="s">
        <v>175</v>
      </c>
      <c r="E17" s="3" t="s">
        <v>64</v>
      </c>
      <c r="F17" s="3" t="s">
        <v>18</v>
      </c>
      <c r="G17" s="3" t="s">
        <v>18</v>
      </c>
      <c r="H17" s="3" t="s">
        <v>176</v>
      </c>
      <c r="I17" s="3" t="s">
        <v>129</v>
      </c>
      <c r="J17" s="3" t="s">
        <v>20</v>
      </c>
      <c r="K17" s="3" t="s">
        <v>23</v>
      </c>
      <c r="L17" s="3" t="s">
        <v>177</v>
      </c>
      <c r="M17" s="3" t="s">
        <v>21</v>
      </c>
      <c r="N17" s="3" t="s">
        <v>23</v>
      </c>
      <c r="O17" s="3" t="s">
        <v>21</v>
      </c>
      <c r="P17" s="3">
        <v>1</v>
      </c>
      <c r="Q17" s="3" t="s">
        <v>77</v>
      </c>
      <c r="R17" s="3" t="s">
        <v>23</v>
      </c>
      <c r="S17" s="3" t="s">
        <v>178</v>
      </c>
      <c r="T17" s="3">
        <v>4</v>
      </c>
      <c r="U17" s="4" t="s">
        <v>179</v>
      </c>
      <c r="V17" s="4" t="s">
        <v>180</v>
      </c>
      <c r="X17" s="4" t="s">
        <v>181</v>
      </c>
      <c r="Y17" s="3" t="s">
        <v>30</v>
      </c>
      <c r="Z17" s="3" t="s">
        <v>72</v>
      </c>
      <c r="AA17" s="3">
        <v>3</v>
      </c>
      <c r="AB17" s="3" t="s">
        <v>182</v>
      </c>
      <c r="AC17" s="3" t="s">
        <v>77</v>
      </c>
      <c r="AD17" s="3" t="s">
        <v>23</v>
      </c>
      <c r="AE17" s="3" t="s">
        <v>21</v>
      </c>
      <c r="AF17" s="3" t="s">
        <v>23</v>
      </c>
      <c r="AG17" s="3" t="s">
        <v>21</v>
      </c>
      <c r="AH17" s="13" t="s">
        <v>23</v>
      </c>
      <c r="AI17" s="14" t="s">
        <v>23</v>
      </c>
    </row>
    <row r="18" spans="1:35" ht="15.75" customHeight="1" x14ac:dyDescent="0.25">
      <c r="A18" s="1">
        <v>46252.569284895828</v>
      </c>
      <c r="B18" s="12">
        <v>9</v>
      </c>
      <c r="C18" s="3" t="s">
        <v>183</v>
      </c>
      <c r="D18" s="3" t="s">
        <v>144</v>
      </c>
      <c r="E18" s="3" t="s">
        <v>53</v>
      </c>
      <c r="F18" s="3" t="s">
        <v>18</v>
      </c>
      <c r="G18" s="3" t="s">
        <v>18</v>
      </c>
      <c r="I18" s="3" t="s">
        <v>19</v>
      </c>
      <c r="J18" s="3" t="s">
        <v>20</v>
      </c>
      <c r="K18" s="3" t="s">
        <v>23</v>
      </c>
      <c r="L18" s="3" t="s">
        <v>184</v>
      </c>
      <c r="M18" s="3" t="s">
        <v>23</v>
      </c>
      <c r="N18" s="3" t="s">
        <v>23</v>
      </c>
      <c r="P18" s="3">
        <v>2</v>
      </c>
      <c r="Q18" s="3" t="s">
        <v>23</v>
      </c>
      <c r="R18" s="3" t="s">
        <v>23</v>
      </c>
      <c r="T18" s="3">
        <v>4</v>
      </c>
      <c r="U18" s="4" t="s">
        <v>185</v>
      </c>
      <c r="V18" s="4" t="s">
        <v>186</v>
      </c>
      <c r="W18" s="4" t="s">
        <v>187</v>
      </c>
      <c r="X18" s="4" t="s">
        <v>188</v>
      </c>
      <c r="Y18" s="3" t="s">
        <v>30</v>
      </c>
      <c r="Z18" s="3" t="s">
        <v>30</v>
      </c>
      <c r="AA18" s="3">
        <v>9</v>
      </c>
      <c r="AB18" s="3" t="s">
        <v>189</v>
      </c>
      <c r="AC18" s="3" t="s">
        <v>77</v>
      </c>
      <c r="AD18" s="3" t="s">
        <v>23</v>
      </c>
      <c r="AE18" s="3" t="s">
        <v>21</v>
      </c>
      <c r="AF18" s="3" t="s">
        <v>23</v>
      </c>
      <c r="AG18" s="3" t="s">
        <v>21</v>
      </c>
      <c r="AH18" s="13" t="str">
        <f>IFERROR(VLOOKUP(Form_Responses[[#This Row],[Nombre Técnico]],'masa de trabajo'!$B:$C,2,0),"")</f>
        <v>SI</v>
      </c>
    </row>
    <row r="19" spans="1:35" ht="15.75" customHeight="1" x14ac:dyDescent="0.25">
      <c r="A19" s="1">
        <v>46252.579421759263</v>
      </c>
      <c r="B19" s="12">
        <v>7</v>
      </c>
      <c r="C19" s="3" t="s">
        <v>190</v>
      </c>
      <c r="D19" s="3" t="s">
        <v>63</v>
      </c>
      <c r="E19" s="3" t="s">
        <v>53</v>
      </c>
      <c r="F19" s="3" t="s">
        <v>18</v>
      </c>
      <c r="G19" s="3" t="s">
        <v>18</v>
      </c>
      <c r="I19" s="3" t="s">
        <v>129</v>
      </c>
      <c r="J19" s="3" t="s">
        <v>41</v>
      </c>
      <c r="K19" s="3" t="s">
        <v>23</v>
      </c>
      <c r="L19" s="3" t="s">
        <v>191</v>
      </c>
      <c r="M19" s="3" t="s">
        <v>23</v>
      </c>
      <c r="N19" s="3" t="s">
        <v>21</v>
      </c>
      <c r="Q19" s="3" t="s">
        <v>23</v>
      </c>
      <c r="R19" s="3" t="s">
        <v>23</v>
      </c>
      <c r="S19" s="3" t="s">
        <v>192</v>
      </c>
      <c r="T19" s="3">
        <v>4</v>
      </c>
      <c r="U19" s="4" t="s">
        <v>193</v>
      </c>
      <c r="V19" s="4" t="s">
        <v>194</v>
      </c>
      <c r="W19" s="4" t="s">
        <v>195</v>
      </c>
      <c r="X19" s="4" t="s">
        <v>196</v>
      </c>
      <c r="Y19" s="3" t="s">
        <v>30</v>
      </c>
      <c r="Z19" s="3" t="s">
        <v>30</v>
      </c>
      <c r="AA19" s="3">
        <v>9</v>
      </c>
      <c r="AB19" s="3" t="s">
        <v>197</v>
      </c>
      <c r="AD19" s="3" t="s">
        <v>23</v>
      </c>
      <c r="AE19" s="3" t="s">
        <v>21</v>
      </c>
      <c r="AG19" s="3" t="s">
        <v>21</v>
      </c>
      <c r="AH19" s="13" t="str">
        <f>IFERROR(VLOOKUP(Form_Responses[[#This Row],[Nombre Técnico]],'masa de trabajo'!$B:$C,2,0),"")</f>
        <v>SI</v>
      </c>
    </row>
    <row r="20" spans="1:35" ht="15.75" customHeight="1" x14ac:dyDescent="0.25">
      <c r="A20" s="1">
        <v>46252.687401099538</v>
      </c>
      <c r="B20" s="12">
        <v>8</v>
      </c>
      <c r="C20" s="3" t="s">
        <v>198</v>
      </c>
      <c r="D20" s="3" t="s">
        <v>102</v>
      </c>
      <c r="E20" s="3" t="s">
        <v>17</v>
      </c>
      <c r="F20" s="3" t="s">
        <v>18</v>
      </c>
      <c r="G20" s="3" t="s">
        <v>18</v>
      </c>
      <c r="I20" s="3" t="s">
        <v>19</v>
      </c>
      <c r="J20" s="3" t="s">
        <v>20</v>
      </c>
      <c r="K20" s="3" t="s">
        <v>23</v>
      </c>
      <c r="L20" s="3" t="s">
        <v>199</v>
      </c>
      <c r="M20" s="3" t="s">
        <v>21</v>
      </c>
      <c r="N20" s="3" t="s">
        <v>23</v>
      </c>
      <c r="P20" s="3">
        <v>3</v>
      </c>
      <c r="Q20" s="3" t="s">
        <v>23</v>
      </c>
      <c r="R20" s="3" t="s">
        <v>23</v>
      </c>
      <c r="T20" s="3">
        <v>3</v>
      </c>
      <c r="U20" s="4" t="s">
        <v>200</v>
      </c>
      <c r="V20" s="4" t="s">
        <v>201</v>
      </c>
      <c r="W20" s="4" t="s">
        <v>202</v>
      </c>
      <c r="X20" s="4" t="s">
        <v>203</v>
      </c>
      <c r="Y20" s="3" t="s">
        <v>72</v>
      </c>
      <c r="Z20" s="3" t="s">
        <v>30</v>
      </c>
      <c r="AA20" s="3">
        <v>5</v>
      </c>
      <c r="AB20" s="3" t="s">
        <v>204</v>
      </c>
      <c r="AC20" s="3" t="s">
        <v>23</v>
      </c>
      <c r="AD20" s="3" t="s">
        <v>23</v>
      </c>
      <c r="AE20" s="3" t="s">
        <v>21</v>
      </c>
      <c r="AF20" s="3" t="s">
        <v>23</v>
      </c>
      <c r="AG20" s="3" t="s">
        <v>21</v>
      </c>
      <c r="AH20" s="13" t="str">
        <f>IFERROR(VLOOKUP(Form_Responses[[#This Row],[Nombre Técnico]],'masa de trabajo'!$B:$C,2,0),"")</f>
        <v>SI</v>
      </c>
      <c r="AI20" s="14" t="s">
        <v>23</v>
      </c>
    </row>
    <row r="21" spans="1:35" ht="15.75" customHeight="1" x14ac:dyDescent="0.25">
      <c r="A21" s="1">
        <v>46253.408800335645</v>
      </c>
      <c r="B21" s="12">
        <v>7</v>
      </c>
      <c r="C21" s="3" t="s">
        <v>205</v>
      </c>
      <c r="D21" s="3" t="s">
        <v>84</v>
      </c>
      <c r="E21" s="3" t="s">
        <v>64</v>
      </c>
      <c r="F21" s="3" t="s">
        <v>18</v>
      </c>
      <c r="G21" s="3" t="s">
        <v>18</v>
      </c>
      <c r="I21" s="3" t="s">
        <v>19</v>
      </c>
      <c r="J21" s="3" t="s">
        <v>41</v>
      </c>
      <c r="K21" s="3" t="s">
        <v>23</v>
      </c>
      <c r="L21" s="3" t="s">
        <v>206</v>
      </c>
      <c r="M21" s="3" t="s">
        <v>23</v>
      </c>
      <c r="N21" s="3" t="s">
        <v>23</v>
      </c>
      <c r="O21" s="3" t="s">
        <v>21</v>
      </c>
      <c r="P21" s="3">
        <v>2</v>
      </c>
      <c r="Q21" s="3" t="s">
        <v>77</v>
      </c>
      <c r="R21" s="3" t="s">
        <v>23</v>
      </c>
      <c r="S21" s="3" t="s">
        <v>207</v>
      </c>
      <c r="T21" s="3">
        <v>4</v>
      </c>
      <c r="U21" s="4" t="s">
        <v>208</v>
      </c>
      <c r="V21" s="4" t="s">
        <v>209</v>
      </c>
      <c r="X21" s="4" t="s">
        <v>210</v>
      </c>
      <c r="Y21" s="3" t="s">
        <v>30</v>
      </c>
      <c r="Z21" s="3" t="s">
        <v>72</v>
      </c>
      <c r="AA21" s="3">
        <v>5</v>
      </c>
      <c r="AB21" s="3" t="s">
        <v>211</v>
      </c>
      <c r="AC21" s="3" t="s">
        <v>212</v>
      </c>
      <c r="AD21" s="3" t="s">
        <v>23</v>
      </c>
      <c r="AE21" s="3" t="s">
        <v>21</v>
      </c>
      <c r="AF21" s="3" t="s">
        <v>23</v>
      </c>
      <c r="AG21" s="3" t="s">
        <v>21</v>
      </c>
      <c r="AH21" s="13" t="str">
        <f>IFERROR(VLOOKUP(Form_Responses[[#This Row],[Nombre Técnico]],'masa de trabajo'!$B:$C,2,0),"")</f>
        <v/>
      </c>
      <c r="AI21" s="14" t="s">
        <v>238</v>
      </c>
    </row>
    <row r="22" spans="1:35" ht="15.75" customHeight="1" x14ac:dyDescent="0.25">
      <c r="A22" s="1">
        <v>46254.036589560186</v>
      </c>
      <c r="B22" s="12">
        <v>9</v>
      </c>
      <c r="C22" s="3" t="s">
        <v>213</v>
      </c>
      <c r="D22" s="3" t="s">
        <v>63</v>
      </c>
      <c r="E22" s="3" t="s">
        <v>53</v>
      </c>
      <c r="F22" s="3" t="s">
        <v>18</v>
      </c>
      <c r="G22" s="3" t="s">
        <v>18</v>
      </c>
      <c r="I22" s="3" t="s">
        <v>19</v>
      </c>
      <c r="J22" s="3" t="s">
        <v>20</v>
      </c>
      <c r="L22" s="3" t="s">
        <v>214</v>
      </c>
      <c r="M22" s="3" t="s">
        <v>23</v>
      </c>
      <c r="N22" s="3" t="s">
        <v>23</v>
      </c>
      <c r="Q22" s="3" t="s">
        <v>23</v>
      </c>
      <c r="R22" s="3" t="s">
        <v>23</v>
      </c>
      <c r="S22" s="3" t="s">
        <v>215</v>
      </c>
      <c r="T22" s="3">
        <v>4</v>
      </c>
      <c r="U22" s="4" t="s">
        <v>216</v>
      </c>
      <c r="V22" s="4" t="s">
        <v>217</v>
      </c>
      <c r="W22" s="4" t="s">
        <v>218</v>
      </c>
      <c r="X22" s="4" t="s">
        <v>219</v>
      </c>
      <c r="Y22" s="3" t="s">
        <v>30</v>
      </c>
      <c r="Z22" s="3" t="s">
        <v>30</v>
      </c>
      <c r="AA22" s="3">
        <v>10</v>
      </c>
      <c r="AB22" s="3" t="s">
        <v>220</v>
      </c>
      <c r="AC22" s="3" t="s">
        <v>23</v>
      </c>
      <c r="AD22" s="3" t="s">
        <v>23</v>
      </c>
      <c r="AE22" s="3" t="s">
        <v>21</v>
      </c>
      <c r="AF22" s="3" t="s">
        <v>23</v>
      </c>
      <c r="AG22" s="3" t="s">
        <v>21</v>
      </c>
      <c r="AH22" s="13" t="str">
        <f>IFERROR(VLOOKUP(Form_Responses[[#This Row],[Nombre Técnico]],'masa de trabajo'!$B:$C,2,0),"")</f>
        <v>SI</v>
      </c>
    </row>
    <row r="23" spans="1:35" ht="15.75" customHeight="1" x14ac:dyDescent="0.25">
      <c r="A23" s="1">
        <v>46254.792688402777</v>
      </c>
      <c r="B23" s="12">
        <v>5</v>
      </c>
      <c r="C23" s="3" t="s">
        <v>221</v>
      </c>
      <c r="D23" s="3" t="s">
        <v>222</v>
      </c>
      <c r="E23" s="3" t="s">
        <v>53</v>
      </c>
      <c r="F23" s="3" t="s">
        <v>18</v>
      </c>
      <c r="G23" s="3" t="s">
        <v>18</v>
      </c>
      <c r="I23" s="3" t="s">
        <v>19</v>
      </c>
      <c r="J23" s="3" t="s">
        <v>54</v>
      </c>
      <c r="L23" s="3" t="s">
        <v>223</v>
      </c>
      <c r="M23" s="3" t="s">
        <v>23</v>
      </c>
      <c r="O23" s="3" t="s">
        <v>23</v>
      </c>
      <c r="P23" s="3">
        <v>4</v>
      </c>
      <c r="Q23" s="3" t="s">
        <v>23</v>
      </c>
      <c r="R23" s="3" t="s">
        <v>23</v>
      </c>
      <c r="S23" s="3" t="s">
        <v>224</v>
      </c>
      <c r="T23" s="3">
        <v>4</v>
      </c>
      <c r="U23" s="4" t="s">
        <v>225</v>
      </c>
      <c r="V23" s="4" t="s">
        <v>226</v>
      </c>
      <c r="W23" s="4" t="s">
        <v>227</v>
      </c>
      <c r="X23" s="4" t="s">
        <v>228</v>
      </c>
      <c r="Y23" s="3" t="s">
        <v>30</v>
      </c>
      <c r="Z23" s="3" t="s">
        <v>30</v>
      </c>
      <c r="AA23" s="3">
        <v>9</v>
      </c>
      <c r="AB23" s="3" t="s">
        <v>229</v>
      </c>
      <c r="AH23" s="13" t="s">
        <v>23</v>
      </c>
      <c r="AI23" s="14" t="s">
        <v>23</v>
      </c>
    </row>
    <row r="24" spans="1:35" ht="15.75" customHeight="1" x14ac:dyDescent="0.25">
      <c r="A24" s="1">
        <v>46255.391508726854</v>
      </c>
      <c r="B24" s="12">
        <v>7</v>
      </c>
      <c r="C24" s="3" t="s">
        <v>230</v>
      </c>
      <c r="D24" s="3" t="s">
        <v>222</v>
      </c>
      <c r="E24" s="3" t="s">
        <v>64</v>
      </c>
      <c r="F24" s="3" t="s">
        <v>18</v>
      </c>
      <c r="G24" s="3" t="s">
        <v>18</v>
      </c>
      <c r="I24" s="3" t="s">
        <v>19</v>
      </c>
      <c r="J24" s="3" t="s">
        <v>41</v>
      </c>
      <c r="K24" s="3" t="s">
        <v>21</v>
      </c>
      <c r="L24" s="3" t="s">
        <v>231</v>
      </c>
      <c r="M24" s="3" t="s">
        <v>21</v>
      </c>
      <c r="N24" s="3" t="s">
        <v>23</v>
      </c>
      <c r="O24" s="3" t="s">
        <v>23</v>
      </c>
      <c r="P24" s="3">
        <v>4</v>
      </c>
      <c r="Q24" s="3" t="s">
        <v>23</v>
      </c>
      <c r="R24" s="3" t="s">
        <v>23</v>
      </c>
      <c r="S24" s="3" t="s">
        <v>232</v>
      </c>
      <c r="T24" s="3">
        <v>4</v>
      </c>
      <c r="U24" s="4" t="s">
        <v>233</v>
      </c>
      <c r="V24" s="4" t="s">
        <v>234</v>
      </c>
      <c r="W24" s="4" t="s">
        <v>235</v>
      </c>
      <c r="X24" s="4" t="s">
        <v>236</v>
      </c>
      <c r="Y24" s="3" t="s">
        <v>30</v>
      </c>
      <c r="Z24" s="3" t="s">
        <v>72</v>
      </c>
      <c r="AA24" s="3">
        <v>4</v>
      </c>
      <c r="AB24" s="3" t="s">
        <v>237</v>
      </c>
      <c r="AC24" s="3" t="s">
        <v>23</v>
      </c>
      <c r="AD24" s="3" t="s">
        <v>23</v>
      </c>
      <c r="AE24" s="3" t="s">
        <v>21</v>
      </c>
      <c r="AF24" s="3" t="s">
        <v>23</v>
      </c>
      <c r="AG24" s="3" t="s">
        <v>21</v>
      </c>
      <c r="AH24" s="13" t="str">
        <f>IFERROR(VLOOKUP(Form_Responses[[#This Row],[Nombre Técnico]],'masa de trabajo'!$B:$C,2,0),"")</f>
        <v/>
      </c>
      <c r="AI24" s="14" t="s">
        <v>238</v>
      </c>
    </row>
    <row r="25" spans="1:35" ht="15.75" customHeight="1" x14ac:dyDescent="0.25">
      <c r="A25" s="1">
        <v>46258.603575879628</v>
      </c>
      <c r="B25" s="12">
        <v>7</v>
      </c>
      <c r="C25" s="3" t="s">
        <v>239</v>
      </c>
      <c r="D25" s="3" t="s">
        <v>75</v>
      </c>
      <c r="E25" s="3" t="s">
        <v>53</v>
      </c>
      <c r="F25" s="3" t="s">
        <v>18</v>
      </c>
      <c r="G25" s="3" t="s">
        <v>18</v>
      </c>
      <c r="I25" s="3" t="s">
        <v>129</v>
      </c>
      <c r="J25" s="3" t="s">
        <v>41</v>
      </c>
      <c r="K25" s="3" t="s">
        <v>23</v>
      </c>
      <c r="L25" s="3" t="s">
        <v>240</v>
      </c>
      <c r="N25" s="3" t="s">
        <v>23</v>
      </c>
      <c r="O25" s="3" t="s">
        <v>23</v>
      </c>
      <c r="P25" s="3">
        <v>5</v>
      </c>
      <c r="Q25" s="3" t="s">
        <v>23</v>
      </c>
      <c r="R25" s="3" t="s">
        <v>23</v>
      </c>
      <c r="S25" s="3" t="s">
        <v>241</v>
      </c>
      <c r="T25" s="3">
        <v>4</v>
      </c>
      <c r="U25" s="4" t="s">
        <v>242</v>
      </c>
      <c r="V25" s="4" t="s">
        <v>243</v>
      </c>
      <c r="X25" s="4" t="s">
        <v>244</v>
      </c>
      <c r="Y25" s="3" t="s">
        <v>30</v>
      </c>
      <c r="Z25" s="3" t="s">
        <v>30</v>
      </c>
      <c r="AA25" s="3">
        <v>8</v>
      </c>
      <c r="AB25" s="3" t="s">
        <v>245</v>
      </c>
      <c r="AD25" s="3" t="s">
        <v>23</v>
      </c>
      <c r="AE25" s="3" t="s">
        <v>21</v>
      </c>
      <c r="AG25" s="3" t="s">
        <v>21</v>
      </c>
      <c r="AH25" s="13" t="str">
        <f>IFERROR(VLOOKUP(Form_Responses[[#This Row],[Nombre Técnico]],'masa de trabajo'!$B:$C,2,0),"")</f>
        <v>SI</v>
      </c>
    </row>
    <row r="26" spans="1:35" ht="15.75" customHeight="1" x14ac:dyDescent="0.25">
      <c r="A26" s="1">
        <v>46258.674336504628</v>
      </c>
      <c r="B26" s="12">
        <v>7</v>
      </c>
      <c r="C26" s="3" t="s">
        <v>246</v>
      </c>
      <c r="D26" s="3" t="s">
        <v>222</v>
      </c>
      <c r="E26" s="3" t="s">
        <v>53</v>
      </c>
      <c r="F26" s="3" t="s">
        <v>18</v>
      </c>
      <c r="G26" s="3" t="s">
        <v>18</v>
      </c>
      <c r="I26" s="3" t="s">
        <v>129</v>
      </c>
      <c r="J26" s="3" t="s">
        <v>20</v>
      </c>
      <c r="K26" s="3" t="s">
        <v>23</v>
      </c>
      <c r="L26" s="3" t="s">
        <v>247</v>
      </c>
      <c r="M26" s="3" t="s">
        <v>21</v>
      </c>
      <c r="N26" s="3" t="s">
        <v>23</v>
      </c>
      <c r="O26" s="3" t="s">
        <v>21</v>
      </c>
      <c r="Q26" s="3" t="s">
        <v>23</v>
      </c>
      <c r="R26" s="3" t="s">
        <v>23</v>
      </c>
      <c r="S26" s="3" t="s">
        <v>248</v>
      </c>
      <c r="T26" s="3">
        <v>4</v>
      </c>
      <c r="U26" s="4" t="s">
        <v>249</v>
      </c>
      <c r="V26" s="4" t="s">
        <v>250</v>
      </c>
      <c r="W26" s="4" t="s">
        <v>251</v>
      </c>
      <c r="Y26" s="3" t="s">
        <v>30</v>
      </c>
      <c r="Z26" s="3" t="s">
        <v>30</v>
      </c>
      <c r="AA26" s="3">
        <v>8</v>
      </c>
      <c r="AB26" s="3" t="s">
        <v>252</v>
      </c>
      <c r="AD26" s="3" t="s">
        <v>23</v>
      </c>
      <c r="AE26" s="3" t="s">
        <v>21</v>
      </c>
      <c r="AG26" s="3" t="s">
        <v>21</v>
      </c>
      <c r="AH26" s="13" t="s">
        <v>23</v>
      </c>
      <c r="AI26" s="14" t="s">
        <v>23</v>
      </c>
    </row>
    <row r="27" spans="1:35" ht="15.75" customHeight="1" x14ac:dyDescent="0.25">
      <c r="A27" s="1">
        <v>46260.768395266205</v>
      </c>
      <c r="B27" s="12">
        <v>6</v>
      </c>
      <c r="C27" s="3" t="s">
        <v>253</v>
      </c>
      <c r="D27" s="3" t="s">
        <v>254</v>
      </c>
      <c r="E27" s="3" t="s">
        <v>53</v>
      </c>
      <c r="F27" s="3" t="s">
        <v>18</v>
      </c>
      <c r="G27" s="3" t="s">
        <v>18</v>
      </c>
      <c r="I27" s="3" t="s">
        <v>129</v>
      </c>
      <c r="J27" s="3" t="s">
        <v>20</v>
      </c>
      <c r="K27" s="3" t="s">
        <v>23</v>
      </c>
      <c r="L27" s="3" t="s">
        <v>255</v>
      </c>
      <c r="N27" s="3" t="s">
        <v>21</v>
      </c>
      <c r="P27" s="3">
        <v>1</v>
      </c>
      <c r="Q27" s="3" t="s">
        <v>23</v>
      </c>
      <c r="R27" s="3" t="s">
        <v>23</v>
      </c>
      <c r="S27" s="3" t="s">
        <v>256</v>
      </c>
      <c r="T27" s="3">
        <v>4</v>
      </c>
      <c r="U27" s="4" t="s">
        <v>257</v>
      </c>
      <c r="V27" s="4" t="s">
        <v>258</v>
      </c>
      <c r="W27" s="4" t="s">
        <v>259</v>
      </c>
      <c r="X27" s="4" t="s">
        <v>260</v>
      </c>
      <c r="Y27" s="3" t="s">
        <v>30</v>
      </c>
      <c r="Z27" s="3" t="s">
        <v>30</v>
      </c>
      <c r="AA27" s="3">
        <v>9</v>
      </c>
      <c r="AB27" s="3" t="s">
        <v>261</v>
      </c>
      <c r="AD27" s="3" t="s">
        <v>23</v>
      </c>
      <c r="AE27" s="3" t="s">
        <v>21</v>
      </c>
      <c r="AG27" s="3" t="s">
        <v>21</v>
      </c>
      <c r="AH27" s="18" t="str">
        <f>IFERROR(VLOOKUP(Form_Responses[[#This Row],[Nombre Técnico]],'masa de trabajo'!$B:$C,2,0),"")</f>
        <v/>
      </c>
    </row>
  </sheetData>
  <phoneticPr fontId="5" type="noConversion"/>
  <hyperlinks>
    <hyperlink ref="U2" r:id="rId1" xr:uid="{C46047FE-6FDF-4B10-ACC3-372FA701AF54}"/>
    <hyperlink ref="V2" r:id="rId2" xr:uid="{A9F0359E-3499-48AD-8789-F13DD00A89CD}"/>
    <hyperlink ref="W2" r:id="rId3" xr:uid="{D7887AB6-BEA0-46BC-9102-A373322D22E0}"/>
    <hyperlink ref="X2" r:id="rId4" xr:uid="{86E5ED47-C2F4-4974-AC2F-D0FF6627388F}"/>
    <hyperlink ref="U3" r:id="rId5" xr:uid="{CE4196D1-1D2B-4F08-80FB-007F341EE5F2}"/>
    <hyperlink ref="V3" r:id="rId6" xr:uid="{00CD2DAD-9356-4951-BC63-2FC1CD5142F1}"/>
    <hyperlink ref="X3" r:id="rId7" xr:uid="{08712822-BAA8-4C4B-A948-2B4135A2C032}"/>
    <hyperlink ref="U4" r:id="rId8" xr:uid="{1136D05A-81C8-46B7-917C-5ED64D03C793}"/>
    <hyperlink ref="V4" r:id="rId9" xr:uid="{8BDCFAC1-20BA-4442-82D7-6D0B1ED48964}"/>
    <hyperlink ref="X4" r:id="rId10" xr:uid="{35E1440C-A50C-4ACD-922A-A128798DD163}"/>
    <hyperlink ref="U5" r:id="rId11" xr:uid="{20E29210-A5A7-4843-8F50-36EC4B567708}"/>
    <hyperlink ref="V5" r:id="rId12" xr:uid="{F6091A51-38F1-4A6F-A95F-74009DFFBE49}"/>
    <hyperlink ref="W5" r:id="rId13" xr:uid="{82969E35-A7EB-4C15-B16D-32E19F2C03D4}"/>
    <hyperlink ref="X5" r:id="rId14" xr:uid="{4F7D3449-5381-41DF-9C2E-272D5F538086}"/>
    <hyperlink ref="U6" r:id="rId15" xr:uid="{C285FED6-5072-488D-8565-3C1895AD28CD}"/>
    <hyperlink ref="V6" r:id="rId16" xr:uid="{C736F243-E004-4F67-AE9A-FA9608FEE956}"/>
    <hyperlink ref="W6" r:id="rId17" xr:uid="{A99BCC34-FB6E-4C05-98E4-AC608DE9510A}"/>
    <hyperlink ref="X6" r:id="rId18" xr:uid="{426D3C2B-BDE3-49C7-BE83-58CB7E32D012}"/>
    <hyperlink ref="U7" r:id="rId19" xr:uid="{BEB19659-A74B-4AEE-87A5-6400A6EA34BD}"/>
    <hyperlink ref="V7" r:id="rId20" xr:uid="{A765D3B4-F9C9-4C9A-96A2-3C79AA3F93CE}"/>
    <hyperlink ref="X7" r:id="rId21" xr:uid="{FF17516F-1EB5-46C1-A7E9-E1603A42E464}"/>
    <hyperlink ref="U8" r:id="rId22" xr:uid="{C0F4A308-41B3-4341-8B32-D32B191D3187}"/>
    <hyperlink ref="V8" r:id="rId23" xr:uid="{87485E6F-E479-4D75-847F-4951E81343A8}"/>
    <hyperlink ref="W8" r:id="rId24" xr:uid="{7F29F0EC-BD91-4AC4-A853-027CF0CA16EC}"/>
    <hyperlink ref="X8" r:id="rId25" xr:uid="{B3AE5B2C-D7B2-43C4-B51F-A7E727220A31}"/>
    <hyperlink ref="U9" r:id="rId26" xr:uid="{474A85BB-4AFA-44D4-9344-CDF4CE3C806E}"/>
    <hyperlink ref="V9" r:id="rId27" xr:uid="{2FCE10DE-28E5-408B-88E2-C4363D7FE955}"/>
    <hyperlink ref="W9" r:id="rId28" xr:uid="{14B85F4C-FD65-44DF-885B-B050AA596172}"/>
    <hyperlink ref="X9" r:id="rId29" xr:uid="{6F603F8C-9295-4912-9AFA-EB2171449080}"/>
    <hyperlink ref="U10" r:id="rId30" xr:uid="{B769F7D4-F1F8-474A-A879-62983BCCD473}"/>
    <hyperlink ref="V10" r:id="rId31" xr:uid="{326AA313-DEB5-4879-9D8B-2EAD53DB0625}"/>
    <hyperlink ref="X10" r:id="rId32" xr:uid="{6E099570-738E-4DEE-8A71-28245294F6A2}"/>
    <hyperlink ref="U11" r:id="rId33" xr:uid="{FB406639-6F37-4639-8C51-AF24ED309D80}"/>
    <hyperlink ref="V11" r:id="rId34" xr:uid="{C37F461A-5AA7-4974-AF88-B2E6D2A2DD9E}"/>
    <hyperlink ref="W11" r:id="rId35" xr:uid="{CDF5A20F-548F-407B-B555-432435D99241}"/>
    <hyperlink ref="X11" r:id="rId36" xr:uid="{34324260-A7AE-455E-8D42-71EB83DA194A}"/>
    <hyperlink ref="U13" r:id="rId37" xr:uid="{9922CC91-0074-4F6C-8AB8-D1123CDD83A8}"/>
    <hyperlink ref="V13" r:id="rId38" xr:uid="{EB38EDA6-BF0E-4BD3-8413-C434011D9346}"/>
    <hyperlink ref="W13" r:id="rId39" xr:uid="{FC061DAA-98A4-40D4-9546-07F1A7316551}"/>
    <hyperlink ref="X13" r:id="rId40" xr:uid="{2533BD1F-5264-49AF-90E1-AA65B66C207F}"/>
    <hyperlink ref="W14" r:id="rId41" xr:uid="{345A57B6-2E27-4D8C-89D1-8996D04F7924}"/>
    <hyperlink ref="X14" r:id="rId42" xr:uid="{97E679C8-B082-4A39-A222-7B32F94F1DB9}"/>
    <hyperlink ref="U15" r:id="rId43" xr:uid="{DD25C007-0691-45F8-9D6F-C0DB62E48587}"/>
    <hyperlink ref="V15" r:id="rId44" xr:uid="{11745C11-95C1-4C84-86BD-4B9C5CD95AC3}"/>
    <hyperlink ref="X15" r:id="rId45" xr:uid="{436D3427-E585-4D62-9EF6-BEEA5D7E2B80}"/>
    <hyperlink ref="U16" r:id="rId46" xr:uid="{9BEEB1E9-2A81-4E18-80F9-614B6AB0114E}"/>
    <hyperlink ref="V16" r:id="rId47" xr:uid="{0D231033-D7B0-4A1C-BE5B-BC5C2E2054F4}"/>
    <hyperlink ref="W16" r:id="rId48" xr:uid="{25F7B397-1044-49BC-A522-F7CBB2EF8ED0}"/>
    <hyperlink ref="X16" r:id="rId49" xr:uid="{29BA59B5-BC24-4AA8-B819-587F5A04A33F}"/>
    <hyperlink ref="U17" r:id="rId50" xr:uid="{E13C20B1-668F-4BAC-B2B7-F66C61A3CEC4}"/>
    <hyperlink ref="V17" r:id="rId51" xr:uid="{FB3404BC-D478-44E3-962D-C5F2EF824156}"/>
    <hyperlink ref="X17" r:id="rId52" xr:uid="{9681854A-BD6F-4CD0-9CC8-F613BBFA0233}"/>
    <hyperlink ref="U18" r:id="rId53" xr:uid="{F45B0C37-4BA8-43F1-AF6C-038E76B21E3E}"/>
    <hyperlink ref="V18" r:id="rId54" xr:uid="{A27D9F4F-65D3-4601-B41A-1EA6118B943C}"/>
    <hyperlink ref="W18" r:id="rId55" xr:uid="{F3D8C36D-6805-4F1F-96CA-1558FCD563CB}"/>
    <hyperlink ref="X18" r:id="rId56" xr:uid="{51B3CFF6-D36D-4656-8473-E07FC963557B}"/>
    <hyperlink ref="U19" r:id="rId57" xr:uid="{711C7C91-AC17-4B84-ADE8-4BFF06E7F273}"/>
    <hyperlink ref="V19" r:id="rId58" xr:uid="{A0B053A1-32EC-411F-99D7-007D2C174647}"/>
    <hyperlink ref="W19" r:id="rId59" xr:uid="{36A43D0E-4313-445F-B80F-A47E2FAA2E3A}"/>
    <hyperlink ref="X19" r:id="rId60" xr:uid="{E30873AC-49E1-4967-BF4C-EB49E08051EC}"/>
    <hyperlink ref="U20" r:id="rId61" xr:uid="{0A103F9E-1907-407A-B0C3-DF7A5855B296}"/>
    <hyperlink ref="V20" r:id="rId62" xr:uid="{4AF27E35-ECBD-4993-A7A0-EA0645E52ACE}"/>
    <hyperlink ref="W20" r:id="rId63" xr:uid="{9A4BCA23-7D8E-4858-9A61-339CF3E5B26F}"/>
    <hyperlink ref="X20" r:id="rId64" xr:uid="{0A900B24-C198-40AA-B997-AB9856D5F7ED}"/>
    <hyperlink ref="U21" r:id="rId65" xr:uid="{E8E0BC24-4202-4E2F-ABF8-322C71D9FD1D}"/>
    <hyperlink ref="V21" r:id="rId66" xr:uid="{BC923A68-4DB7-441B-8A3F-6516855DB0FC}"/>
    <hyperlink ref="X21" r:id="rId67" xr:uid="{3AB3B249-6BBA-4B7B-833D-32DD77D2EE46}"/>
    <hyperlink ref="U22" r:id="rId68" xr:uid="{ABA44021-53F8-46A9-9DC1-B7D685C8F41C}"/>
    <hyperlink ref="V22" r:id="rId69" xr:uid="{2A0E1DFC-E482-42D6-95B0-AA28B58ECDCC}"/>
    <hyperlink ref="W22" r:id="rId70" xr:uid="{C729010F-E93E-4CA9-96BF-4382C3A3B421}"/>
    <hyperlink ref="X22" r:id="rId71" xr:uid="{97288453-FA11-49CB-966A-7F81BF671AA2}"/>
    <hyperlink ref="U23" r:id="rId72" xr:uid="{49A764EF-FA30-4DF2-80F6-23B1B29EE045}"/>
    <hyperlink ref="V23" r:id="rId73" xr:uid="{448287F5-5F69-4179-8BF4-8C1F8B238599}"/>
    <hyperlink ref="W23" r:id="rId74" xr:uid="{EE0AD88C-F76F-4D06-B375-23851411C3EF}"/>
    <hyperlink ref="X23" r:id="rId75" xr:uid="{7D41A8A4-F3A2-471A-B08F-61C63A39498E}"/>
    <hyperlink ref="U24" r:id="rId76" xr:uid="{0FD5F4B6-E358-450C-8A46-3BBC2EAB6752}"/>
    <hyperlink ref="V24" r:id="rId77" xr:uid="{5459AA78-A659-46DC-B8EB-9F43D6E60C3B}"/>
    <hyperlink ref="W24" r:id="rId78" xr:uid="{4EF77410-A624-404F-A8A1-BB034BEDF706}"/>
    <hyperlink ref="X24" r:id="rId79" xr:uid="{870D149A-F6E4-4E28-A9AC-BFA755403781}"/>
    <hyperlink ref="U25" r:id="rId80" xr:uid="{159638D6-8FCF-4CF3-A609-428F625A6FCF}"/>
    <hyperlink ref="V25" r:id="rId81" xr:uid="{AA1AAFFF-6EF7-46FA-8FFC-926833B9399C}"/>
    <hyperlink ref="X25" r:id="rId82" xr:uid="{7A0293A3-AC81-4D37-8161-2C138924891D}"/>
    <hyperlink ref="U26" r:id="rId83" xr:uid="{580ECB31-4014-48E4-8DEA-0577DCC21B45}"/>
    <hyperlink ref="V26" r:id="rId84" xr:uid="{E64A7AA5-2961-414A-BCA9-27E7B9196CBF}"/>
    <hyperlink ref="W26" r:id="rId85" xr:uid="{31B9B76E-097F-49E7-8EDB-B98716BA1C8B}"/>
    <hyperlink ref="U27" r:id="rId86" xr:uid="{20AA1317-E851-44B1-AD63-CB138B7555D2}"/>
    <hyperlink ref="V27" r:id="rId87" xr:uid="{AC4495A2-D24B-4AE1-81D0-3C7C76F1CE9F}"/>
    <hyperlink ref="W27" r:id="rId88" xr:uid="{DB87A161-C749-46AC-9D1E-ADCDAFB44497}"/>
    <hyperlink ref="X27" r:id="rId89" xr:uid="{989014DE-9BF1-4E40-B353-864011148892}"/>
  </hyperlinks>
  <pageMargins left="0.7" right="0.7" top="0.75" bottom="0.75" header="0.3" footer="0.3"/>
  <tableParts count="1">
    <tablePart r:id="rId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D9"/>
  <sheetViews>
    <sheetView workbookViewId="0">
      <selection activeCell="D10" sqref="D10"/>
    </sheetView>
  </sheetViews>
  <sheetFormatPr baseColWidth="10" defaultRowHeight="13.2" x14ac:dyDescent="0.25"/>
  <cols>
    <col min="2" max="2" width="36.5546875" bestFit="1" customWidth="1"/>
    <col min="3" max="3" width="29.5546875" style="8" bestFit="1" customWidth="1"/>
    <col min="4" max="4" width="47.6640625" customWidth="1"/>
  </cols>
  <sheetData>
    <row r="1" spans="2:4" x14ac:dyDescent="0.25">
      <c r="B1" s="7" t="s">
        <v>100</v>
      </c>
      <c r="C1" s="10" t="s">
        <v>48</v>
      </c>
      <c r="D1" s="7" t="s">
        <v>49</v>
      </c>
    </row>
    <row r="2" spans="2:4" x14ac:dyDescent="0.25">
      <c r="B2" s="6" t="s">
        <v>16</v>
      </c>
      <c r="C2" s="8" t="s">
        <v>23</v>
      </c>
    </row>
    <row r="3" spans="2:4" x14ac:dyDescent="0.25">
      <c r="B3" s="9" t="s">
        <v>33</v>
      </c>
      <c r="C3" s="8" t="s">
        <v>23</v>
      </c>
    </row>
    <row r="4" spans="2:4" x14ac:dyDescent="0.25">
      <c r="B4" s="6" t="s">
        <v>63</v>
      </c>
      <c r="C4" s="8" t="s">
        <v>23</v>
      </c>
    </row>
    <row r="5" spans="2:4" x14ac:dyDescent="0.25">
      <c r="B5" s="11" t="s">
        <v>52</v>
      </c>
      <c r="C5" s="8" t="s">
        <v>23</v>
      </c>
    </row>
    <row r="6" spans="2:4" x14ac:dyDescent="0.25">
      <c r="B6" s="9" t="s">
        <v>75</v>
      </c>
      <c r="C6" s="8" t="s">
        <v>23</v>
      </c>
    </row>
    <row r="7" spans="2:4" x14ac:dyDescent="0.25">
      <c r="B7" t="s">
        <v>102</v>
      </c>
      <c r="C7" s="8" t="s">
        <v>23</v>
      </c>
      <c r="D7" t="s">
        <v>23</v>
      </c>
    </row>
    <row r="8" spans="2:4" x14ac:dyDescent="0.25">
      <c r="B8" t="s">
        <v>128</v>
      </c>
      <c r="C8" s="8" t="s">
        <v>23</v>
      </c>
      <c r="D8" t="s">
        <v>23</v>
      </c>
    </row>
    <row r="9" spans="2:4" x14ac:dyDescent="0.25">
      <c r="B9" s="17" t="s">
        <v>144</v>
      </c>
      <c r="C9" s="8"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2026-08-27T13:10:07Z</dcterms:modified>
</cp:coreProperties>
</file>