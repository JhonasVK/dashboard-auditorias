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D7F218AA-AB62-4CFD-8F33-35F5F3CCD0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</calcChain>
</file>

<file path=xl/sharedStrings.xml><?xml version="1.0" encoding="utf-8"?>
<sst xmlns="http://schemas.openxmlformats.org/spreadsheetml/2006/main" count="208" uniqueCount="114">
  <si>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</si>
  <si>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</si>
  <si>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</si>
  <si>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</si>
  <si>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</si>
  <si>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</si>
  <si>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</si>
  <si>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</si>
  <si>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AUDITORIA</t>
  </si>
  <si>
    <t>ACTIVIDAD</t>
  </si>
  <si>
    <t>REUTILIZA INSTALACIÓN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</si>
  <si>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</si>
  <si>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</si>
  <si>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</si>
  <si>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</si>
  <si>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</si>
  <si>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</si>
  <si>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</si>
  <si>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</si>
  <si>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</si>
  <si>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</si>
  <si>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</si>
  <si>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</si>
  <si>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</si>
  <si>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</si>
  <si>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</si>
  <si>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</si>
  <si>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</si>
  <si>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</si>
  <si>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</si>
  <si>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</si>
  <si>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</si>
  <si>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</si>
  <si>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</si>
  <si>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</si>
  <si>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</si>
  <si>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</si>
  <si>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</si>
  <si>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</si>
  <si>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</si>
  <si>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</si>
  <si>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</si>
  <si>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</si>
  <si>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</si>
  <si>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</si>
  <si>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</si>
  <si>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</si>
  <si>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</si>
  <si>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</si>
  <si>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</si>
  <si>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</si>
  <si>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</si>
  <si>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</si>
  <si>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</si>
  <si>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</si>
  <si>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</si>
  <si>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</si>
  <si>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</si>
  <si>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</si>
  <si>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</si>
  <si>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</si>
  <si>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</si>
  <si>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</si>
  <si>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</si>
  <si>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</si>
  <si>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</si>
  <si>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</si>
  <si>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</si>
  <si>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</si>
  <si>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</si>
  <si>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</si>
  <si>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</si>
  <si>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</si>
  <si>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</si>
  <si>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</si>
  <si>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</si>
  <si>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</si>
  <si>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</si>
  <si>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</si>
  <si>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</si>
  <si>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</si>
  <si>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</si>
  <si>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</si>
  <si>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</si>
  <si>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</si>
  <si>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</si>
  <si>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</si>
  <si>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</si>
  <si>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</si>
  <si>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</si>
  <si>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</si>
  <si>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</si>
  <si>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</si>
  <si>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</si>
  <si>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</si>
  <si>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r>
      <rPr>
        <b/>
        <sz val="10"/>
        <color theme="1"/>
        <rFont val="Arial"/>
      </rPr>
      <t xml:space="preserve">DIRECCIÓN </t>
    </r>
    <r>
      <rPr>
        <i/>
        <sz val="10"/>
        <color theme="1"/>
        <rFont val="Arial"/>
      </rPr>
      <t>(Calle - Numero)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</si>
  <si>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Instala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</si>
  <si>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Roseta Óptica en norma y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</si>
  <si>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Deja Área de Trabajo Limpio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</si>
  <si>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 xml:space="preserve">Quien </t>
    </r>
    <r>
      <rPr>
        <b/>
        <sz val="10"/>
        <color theme="1"/>
        <rFont val="Arial"/>
      </rPr>
      <t>r</t>
    </r>
    <r>
      <rPr>
        <b/>
        <sz val="10"/>
        <color theme="1"/>
        <rFont val="Arial"/>
      </rPr>
      <t>ecibe en domicilio</t>
    </r>
  </si>
  <si>
    <r>
      <rPr>
        <b/>
        <sz val="10"/>
        <color theme="1"/>
        <rFont val="Arial"/>
      </rPr>
      <t>Fotografía Roseta  Óptica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</si>
  <si>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Fotografías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</si>
  <si>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Estado Auditoria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</si>
  <si>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Con que nota se evalúa al técnico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</si>
  <si>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Observaciones (</t>
    </r>
    <r>
      <rPr>
        <sz val="10"/>
        <color theme="1"/>
        <rFont val="Arial"/>
      </rPr>
      <t>detallar observaciones</t>
    </r>
    <r>
      <rPr>
        <b/>
        <sz val="10"/>
        <color theme="1"/>
        <rFont val="Arial"/>
      </rPr>
      <t>)</t>
    </r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</si>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</sst>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0&quot; / 26&quot;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i/>
      <sz val="10"/>
      <color theme="1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2">
    <border>
      <left/>
      <right/>
      <top/>
      <bottom/>
      <diagonal/>
    </border>
    <border>
      <left/>
      <right/>
      <top style="thin">
        <color rgb="FF5B3F86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34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E9" headerRowDxfId="29">
  <tableColumns count="31">
    <tableColumn id="1" xr3:uid="{00000000-0010-0000-0000-000001000000}" name="Marca temporal" dataDxfId="28"/>
    <tableColumn id="2" xr3:uid="{00000000-0010-0000-0000-000002000000}" name="Puntuación" dataDxfId="27"/>
    <tableColumn id="3" xr3:uid="{00000000-0010-0000-0000-000003000000}" name="N° PETICIÓN " dataDxfId="26"/>
    <tableColumn id="4" xr3:uid="{00000000-0010-0000-0000-000004000000}" name="Nombre Técnico" dataDxfId="25"/>
    <tableColumn id="5" xr3:uid="{00000000-0010-0000-0000-000005000000}" name="SUPERVISOR" dataDxfId="24"/>
    <tableColumn id="6" xr3:uid="{00000000-0010-0000-0000-000006000000}" name="Se ejecuto la actividad" dataDxfId="23"/>
    <tableColumn id="7" xr3:uid="{00000000-0010-0000-0000-000007000000}" name="Se concreta auditoria?" dataDxfId="22"/>
    <tableColumn id="8" xr3:uid="{00000000-0010-0000-0000-000008000000}" name="Motivo de la derivación" dataDxfId="21"/>
    <tableColumn id="9" xr3:uid="{00000000-0010-0000-0000-000009000000}" name="AUDITORIA" dataDxfId="20"/>
    <tableColumn id="10" xr3:uid="{00000000-0010-0000-0000-00000A000000}" name="ACTIVIDAD" dataDxfId="19"/>
    <tableColumn id="11" xr3:uid="{00000000-0010-0000-0000-00000B000000}" name="REUTILIZA INSTALACIÓN" dataDxfId="18"/>
    <tableColumn id="12" xr3:uid="{00000000-0010-0000-0000-00000C000000}" name="DIRECCIÓN (Calle - Numero) " dataDxfId="17"/>
    <tableColumn id="13" xr3:uid="{00000000-0010-0000-0000-00000D000000}" name="Instala Pasa-muros " dataDxfId="16"/>
    <tableColumn id="14" xr3:uid="{00000000-0010-0000-0000-00000E000000}" name="Roseta Óptica en norma y atornillada " dataDxfId="15"/>
    <tableColumn id="15" xr3:uid="{00000000-0010-0000-0000-00000F000000}" name="Repetidor Cableado" dataDxfId="14"/>
    <tableColumn id="16" xr3:uid="{00000000-0010-0000-0000-000010000000}" name="Cantidad Decodificadores" dataDxfId="13"/>
    <tableColumn id="17" xr3:uid="{00000000-0010-0000-0000-000011000000}" name="Capacitación  al Cliente" dataDxfId="12"/>
    <tableColumn id="18" xr3:uid="{00000000-0010-0000-0000-000012000000}" name="Deja Área de Trabajo Limpio " dataDxfId="11"/>
    <tableColumn id="19" xr3:uid="{00000000-0010-0000-0000-000013000000}" name="Quien recibe en domicilio" dataDxfId="10"/>
    <tableColumn id="20" xr3:uid="{00000000-0010-0000-0000-000014000000}" name="Nota de Estética del cableado " dataDxfId="9"/>
    <tableColumn id="21" xr3:uid="{00000000-0010-0000-0000-000015000000}" name="Fotografía  Módem" dataDxfId="8"/>
    <tableColumn id="22" xr3:uid="{00000000-0010-0000-0000-000016000000}" name="Fotografía Roseta  Óptica Atornillada " dataDxfId="7"/>
    <tableColumn id="23" xr3:uid="{00000000-0010-0000-0000-000017000000}" name="Fotografías Pasa-muros " dataDxfId="6"/>
    <tableColumn id="24" xr3:uid="{00000000-0010-0000-0000-000018000000}" name="Fotografías" dataDxfId="5"/>
    <tableColumn id="25" xr3:uid="{00000000-0010-0000-0000-000019000000}" name="Estado Auditoria " dataDxfId="4"/>
    <tableColumn id="26" xr3:uid="{00000000-0010-0000-0000-00001A000000}" name="Técnico cumple correctamente con su función?  " dataDxfId="3"/>
    <tableColumn id="27" xr3:uid="{00000000-0010-0000-0000-00001B000000}" name="Con que nota se evalúa al técnico " dataDxfId="2"/>
    <tableColumn id="28" xr3:uid="{00000000-0010-0000-0000-00001C000000}" name="Observaciones (detallar observaciones)" dataDxfId="1"/>
    <tableColumn id="29" xr3:uid="{B3B22204-0EB9-42F6-9D1A-876CFB34A91A}" name="Se llevó a cabo la mesa de trabajo." dataDxfId="0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/>
    <tableColumn id="31" xr3:uid="{6A4280CD-66D9-45AA-9502-7B76CE3469BE}" name="Observaciones 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fjU3RvPo3EX5BcpGMOPN3bz-u6iU2Q4I" TargetMode="External"/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3" Type="http://schemas.openxmlformats.org/officeDocument/2006/relationships/hyperlink" Target="https://drive.google.com/open?id=1KsGJ-oxout_7n7kZQlBeuIYexSo59vI8" TargetMode="External"/><Relationship Id="rId21" Type="http://schemas.openxmlformats.org/officeDocument/2006/relationships/hyperlink" Target="https://drive.google.com/open?id=1qvV5AHtlp5_I4SZ6Ec-EBbt55zMespJ8" TargetMode="External"/><Relationship Id="rId7" Type="http://schemas.openxmlformats.org/officeDocument/2006/relationships/hyperlink" Target="https://drive.google.com/open?id=1JiROAHGcZpKBb8AYqsKEkaQIUwITYdd-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"/>
  <sheetViews>
    <sheetView tabSelected="1" workbookViewId="0">
      <pane ySplit="1" topLeftCell="A2" activePane="bottomLeft" state="frozen"/>
      <selection pane="bottomLeft" activeCell="D6" sqref="D6"/>
    </sheetView>
  </sheetViews>
  <sheetFormatPr baseColWidth="10" defaultColWidth="12.6640625" defaultRowHeight="15.75" customHeight="1" x14ac:dyDescent="0.25"/>
  <cols>
    <col min="1" max="1" width="27.44140625" customWidth="1"/>
    <col min="2" max="2" width="10.109375" bestFit="1" customWidth="1"/>
    <col min="3" max="3" width="12.77734375" bestFit="1" customWidth="1"/>
    <col min="4" max="4" width="36.33203125" bestFit="1" customWidth="1"/>
    <col min="5" max="5" width="15.3320312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0.6640625" bestFit="1" customWidth="1"/>
    <col min="11" max="11" width="23.21875" bestFit="1" customWidth="1"/>
    <col min="12" max="12" width="26.3320312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24.109375" bestFit="1" customWidth="1"/>
    <col min="20" max="20" width="28.21875" bestFit="1" customWidth="1"/>
    <col min="21" max="21" width="66.88671875" bestFit="1" customWidth="1"/>
    <col min="22" max="22" width="67.77734375" bestFit="1" customWidth="1"/>
    <col min="23" max="23" width="64.44140625" bestFit="1" customWidth="1"/>
    <col min="24" max="24" width="67.441406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79.21875" customWidth="1"/>
    <col min="29" max="29" width="22.44140625" style="11" bestFit="1" customWidth="1"/>
    <col min="30" max="30" width="31.109375" bestFit="1" customWidth="1"/>
    <col min="31" max="34" width="18.88671875" customWidth="1"/>
  </cols>
  <sheetData>
    <row r="1" spans="1:31" s="5" customFormat="1" ht="22.5" customHeight="1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6" t="s">
        <v>95</v>
      </c>
      <c r="M1" s="6" t="s">
        <v>96</v>
      </c>
      <c r="N1" s="6" t="s">
        <v>97</v>
      </c>
      <c r="O1" s="7" t="s">
        <v>11</v>
      </c>
      <c r="P1" s="7" t="s">
        <v>12</v>
      </c>
      <c r="Q1" s="7" t="s">
        <v>13</v>
      </c>
      <c r="R1" s="6" t="s">
        <v>98</v>
      </c>
      <c r="S1" s="6" t="s">
        <v>99</v>
      </c>
      <c r="T1" s="7" t="s">
        <v>14</v>
      </c>
      <c r="U1" s="7" t="s">
        <v>15</v>
      </c>
      <c r="V1" s="6" t="s">
        <v>100</v>
      </c>
      <c r="W1" s="6" t="s">
        <v>101</v>
      </c>
      <c r="X1" s="7" t="s">
        <v>16</v>
      </c>
      <c r="Y1" s="6" t="s">
        <v>102</v>
      </c>
      <c r="Z1" s="7" t="s">
        <v>17</v>
      </c>
      <c r="AA1" s="6" t="s">
        <v>103</v>
      </c>
      <c r="AB1" s="6" t="s">
        <v>104</v>
      </c>
      <c r="AC1" s="10" t="s">
        <v>51</v>
      </c>
      <c r="AD1" s="5" t="s">
        <v>52</v>
      </c>
      <c r="AE1" s="5" t="s">
        <v>53</v>
      </c>
    </row>
    <row r="2" spans="1:31" ht="22.5" customHeight="1" x14ac:dyDescent="0.25">
      <c r="A2" s="1">
        <v>46238.96527310185</v>
      </c>
      <c r="B2" s="2">
        <v>0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21</v>
      </c>
      <c r="H2" s="3"/>
      <c r="I2" s="3" t="s">
        <v>22</v>
      </c>
      <c r="J2" s="3" t="s">
        <v>23</v>
      </c>
      <c r="K2" s="3" t="s">
        <v>24</v>
      </c>
      <c r="L2" s="3" t="s">
        <v>25</v>
      </c>
      <c r="M2" s="3" t="s">
        <v>24</v>
      </c>
      <c r="N2" s="3" t="s">
        <v>26</v>
      </c>
      <c r="O2" s="3" t="s">
        <v>24</v>
      </c>
      <c r="P2" s="3" t="s">
        <v>27</v>
      </c>
      <c r="Q2" s="3" t="s">
        <v>26</v>
      </c>
      <c r="R2" s="3" t="s">
        <v>26</v>
      </c>
      <c r="S2" s="3" t="s">
        <v>28</v>
      </c>
      <c r="T2" s="3">
        <v>4</v>
      </c>
      <c r="U2" s="4" t="s">
        <v>29</v>
      </c>
      <c r="V2" s="4" t="s">
        <v>30</v>
      </c>
      <c r="W2" s="4" t="s">
        <v>31</v>
      </c>
      <c r="X2" s="4" t="s">
        <v>32</v>
      </c>
      <c r="Y2" s="3" t="s">
        <v>33</v>
      </c>
      <c r="Z2" s="3" t="s">
        <v>33</v>
      </c>
      <c r="AA2" s="3">
        <v>6</v>
      </c>
      <c r="AB2" s="3" t="s">
        <v>34</v>
      </c>
      <c r="AC2" s="11" t="str">
        <f>IFERROR(VLOOKUP(Form_Responses[[#This Row],[Nombre Técnico]],'masa de trabajo'!$B:$C,2,0),"")</f>
        <v>SI</v>
      </c>
    </row>
    <row r="3" spans="1:31" ht="22.5" customHeight="1" x14ac:dyDescent="0.25">
      <c r="A3" s="1">
        <v>46241.444909525468</v>
      </c>
      <c r="B3" s="2">
        <v>0</v>
      </c>
      <c r="C3" s="3" t="s">
        <v>35</v>
      </c>
      <c r="D3" s="3" t="s">
        <v>36</v>
      </c>
      <c r="E3" s="3" t="s">
        <v>20</v>
      </c>
      <c r="F3" s="3" t="s">
        <v>21</v>
      </c>
      <c r="G3" s="3" t="s">
        <v>21</v>
      </c>
      <c r="H3" s="3"/>
      <c r="I3" s="3" t="s">
        <v>22</v>
      </c>
      <c r="J3" s="3" t="s">
        <v>23</v>
      </c>
      <c r="K3" s="3" t="s">
        <v>24</v>
      </c>
      <c r="L3" s="3" t="s">
        <v>37</v>
      </c>
      <c r="M3" s="3" t="s">
        <v>24</v>
      </c>
      <c r="N3" s="3" t="s">
        <v>26</v>
      </c>
      <c r="O3" s="3"/>
      <c r="P3" s="3"/>
      <c r="Q3" s="3" t="s">
        <v>26</v>
      </c>
      <c r="R3" s="3" t="s">
        <v>26</v>
      </c>
      <c r="S3" s="3" t="s">
        <v>38</v>
      </c>
      <c r="T3" s="3">
        <v>4</v>
      </c>
      <c r="U3" s="4" t="s">
        <v>39</v>
      </c>
      <c r="V3" s="4" t="s">
        <v>40</v>
      </c>
      <c r="W3" s="3"/>
      <c r="X3" s="4" t="s">
        <v>41</v>
      </c>
      <c r="Y3" s="3" t="s">
        <v>33</v>
      </c>
      <c r="Z3" s="3" t="s">
        <v>33</v>
      </c>
      <c r="AA3" s="3">
        <v>9</v>
      </c>
      <c r="AB3" s="3" t="s">
        <v>42</v>
      </c>
      <c r="AC3" s="11" t="str">
        <f>IFERROR(VLOOKUP(Form_Responses[[#This Row],[Nombre Técnico]],'masa de trabajo'!$B:$C,2,0),"")</f>
        <v>SI</v>
      </c>
    </row>
    <row r="4" spans="1:31" ht="22.5" customHeight="1" x14ac:dyDescent="0.25">
      <c r="A4" s="1">
        <v>46241.449800138886</v>
      </c>
      <c r="B4" s="2">
        <v>0</v>
      </c>
      <c r="C4" s="3" t="s">
        <v>43</v>
      </c>
      <c r="D4" s="3" t="s">
        <v>36</v>
      </c>
      <c r="E4" s="3" t="s">
        <v>20</v>
      </c>
      <c r="F4" s="3" t="s">
        <v>21</v>
      </c>
      <c r="G4" s="3" t="s">
        <v>21</v>
      </c>
      <c r="H4" s="3"/>
      <c r="I4" s="3" t="s">
        <v>22</v>
      </c>
      <c r="J4" s="3" t="s">
        <v>44</v>
      </c>
      <c r="K4" s="3" t="s">
        <v>24</v>
      </c>
      <c r="L4" s="3" t="s">
        <v>45</v>
      </c>
      <c r="M4" s="3" t="s">
        <v>24</v>
      </c>
      <c r="N4" s="3" t="s">
        <v>26</v>
      </c>
      <c r="O4" s="3"/>
      <c r="P4" s="3">
        <v>2</v>
      </c>
      <c r="Q4" s="3" t="s">
        <v>26</v>
      </c>
      <c r="R4" s="3" t="s">
        <v>26</v>
      </c>
      <c r="S4" s="3" t="s">
        <v>46</v>
      </c>
      <c r="T4" s="3">
        <v>4</v>
      </c>
      <c r="U4" s="4" t="s">
        <v>47</v>
      </c>
      <c r="V4" s="4" t="s">
        <v>48</v>
      </c>
      <c r="W4" s="3"/>
      <c r="X4" s="4" t="s">
        <v>49</v>
      </c>
      <c r="Y4" s="3" t="s">
        <v>33</v>
      </c>
      <c r="Z4" s="3" t="s">
        <v>33</v>
      </c>
      <c r="AA4" s="3">
        <v>9</v>
      </c>
      <c r="AB4" s="3" t="s">
        <v>50</v>
      </c>
      <c r="AC4" s="11" t="str">
        <f>IFERROR(VLOOKUP(Form_Responses[[#This Row],[Nombre Técnico]],'masa de trabajo'!$B:$C,2,0),"")</f>
        <v>SI</v>
      </c>
    </row>
    <row r="5" spans="1:31" ht="15.75" customHeight="1" x14ac:dyDescent="0.25">
      <c r="A5" s="1">
        <v>46243.7506640625</v>
      </c>
      <c r="B5" s="2">
        <v>0</v>
      </c>
      <c r="C5" s="3" t="s">
        <v>54</v>
      </c>
      <c r="D5" s="3" t="s">
        <v>55</v>
      </c>
      <c r="E5" s="3" t="s">
        <v>56</v>
      </c>
      <c r="F5" s="3" t="s">
        <v>21</v>
      </c>
      <c r="G5" s="3" t="s">
        <v>21</v>
      </c>
      <c r="I5" s="3" t="s">
        <v>22</v>
      </c>
      <c r="J5" s="3" t="s">
        <v>57</v>
      </c>
      <c r="K5" s="3" t="s">
        <v>24</v>
      </c>
      <c r="L5" s="3" t="s">
        <v>58</v>
      </c>
      <c r="M5" s="3" t="s">
        <v>26</v>
      </c>
      <c r="N5" s="3" t="s">
        <v>24</v>
      </c>
      <c r="P5" s="3">
        <v>3</v>
      </c>
      <c r="Q5" s="3" t="s">
        <v>26</v>
      </c>
      <c r="R5" s="3" t="s">
        <v>26</v>
      </c>
      <c r="S5" s="3" t="s">
        <v>59</v>
      </c>
      <c r="T5" s="3">
        <v>3</v>
      </c>
      <c r="U5" s="4" t="s">
        <v>60</v>
      </c>
      <c r="V5" s="4" t="s">
        <v>61</v>
      </c>
      <c r="W5" s="4" t="s">
        <v>62</v>
      </c>
      <c r="X5" s="4" t="s">
        <v>63</v>
      </c>
      <c r="Y5" s="3" t="s">
        <v>33</v>
      </c>
      <c r="Z5" s="3" t="s">
        <v>33</v>
      </c>
      <c r="AA5" s="3">
        <v>7</v>
      </c>
      <c r="AB5" s="3" t="s">
        <v>64</v>
      </c>
      <c r="AC5" s="11" t="str">
        <f>IFERROR(VLOOKUP(Form_Responses[[#This Row],[Nombre Técnico]],'masa de trabajo'!$B:$C,2,0),"")</f>
        <v/>
      </c>
    </row>
    <row r="6" spans="1:31" ht="15.75" customHeight="1" x14ac:dyDescent="0.25">
      <c r="A6" s="1">
        <v>46244.901713009254</v>
      </c>
      <c r="B6" s="2">
        <v>0</v>
      </c>
      <c r="C6" s="3" t="s">
        <v>65</v>
      </c>
      <c r="D6" s="3" t="s">
        <v>66</v>
      </c>
      <c r="E6" s="3" t="s">
        <v>67</v>
      </c>
      <c r="F6" s="3" t="s">
        <v>21</v>
      </c>
      <c r="G6" s="3" t="s">
        <v>21</v>
      </c>
      <c r="H6" s="3" t="s">
        <v>68</v>
      </c>
      <c r="I6" s="3" t="s">
        <v>22</v>
      </c>
      <c r="J6" s="3" t="s">
        <v>68</v>
      </c>
      <c r="K6" s="3" t="s">
        <v>26</v>
      </c>
      <c r="L6" s="3" t="s">
        <v>69</v>
      </c>
      <c r="M6" s="3" t="s">
        <v>26</v>
      </c>
      <c r="N6" s="3" t="s">
        <v>26</v>
      </c>
      <c r="O6" s="3" t="s">
        <v>24</v>
      </c>
      <c r="P6" s="3">
        <v>1</v>
      </c>
      <c r="Q6" s="3" t="s">
        <v>26</v>
      </c>
      <c r="R6" s="3" t="s">
        <v>26</v>
      </c>
      <c r="S6" s="3" t="s">
        <v>70</v>
      </c>
      <c r="T6" s="3">
        <v>4</v>
      </c>
      <c r="U6" s="4" t="s">
        <v>71</v>
      </c>
      <c r="V6" s="4" t="s">
        <v>72</v>
      </c>
      <c r="W6" s="4" t="s">
        <v>73</v>
      </c>
      <c r="X6" s="4" t="s">
        <v>74</v>
      </c>
      <c r="Y6" s="3" t="s">
        <v>75</v>
      </c>
      <c r="Z6" s="3" t="s">
        <v>75</v>
      </c>
      <c r="AA6" s="3">
        <v>7</v>
      </c>
      <c r="AB6" s="3" t="s">
        <v>76</v>
      </c>
      <c r="AC6" s="11" t="str">
        <f>IFERROR(VLOOKUP(Form_Responses[[#This Row],[Nombre Técnico]],'masa de trabajo'!$B:$C,2,0),"")</f>
        <v>SI</v>
      </c>
    </row>
    <row r="7" spans="1:31" ht="15.75" customHeight="1" x14ac:dyDescent="0.25">
      <c r="A7" s="1">
        <v>46245.540172881942</v>
      </c>
      <c r="B7" s="2">
        <v>0</v>
      </c>
      <c r="C7" s="3" t="s">
        <v>77</v>
      </c>
      <c r="D7" s="3" t="s">
        <v>78</v>
      </c>
      <c r="E7" s="3" t="s">
        <v>56</v>
      </c>
      <c r="F7" s="3" t="s">
        <v>21</v>
      </c>
      <c r="G7" s="3" t="s">
        <v>21</v>
      </c>
      <c r="I7" s="3" t="s">
        <v>22</v>
      </c>
      <c r="J7" s="3" t="s">
        <v>44</v>
      </c>
      <c r="K7" s="3" t="s">
        <v>24</v>
      </c>
      <c r="L7" s="3" t="s">
        <v>79</v>
      </c>
      <c r="N7" s="3" t="s">
        <v>26</v>
      </c>
      <c r="Q7" s="3" t="s">
        <v>80</v>
      </c>
      <c r="R7" s="3" t="s">
        <v>26</v>
      </c>
      <c r="S7" s="3" t="s">
        <v>81</v>
      </c>
      <c r="T7" s="3">
        <v>3</v>
      </c>
      <c r="U7" s="4" t="s">
        <v>82</v>
      </c>
      <c r="V7" s="4" t="s">
        <v>83</v>
      </c>
      <c r="X7" s="4" t="s">
        <v>84</v>
      </c>
      <c r="Y7" s="3" t="s">
        <v>33</v>
      </c>
      <c r="Z7" s="3" t="s">
        <v>75</v>
      </c>
      <c r="AA7" s="3">
        <v>5</v>
      </c>
      <c r="AB7" s="3" t="s">
        <v>85</v>
      </c>
      <c r="AC7" s="11" t="str">
        <f>IFERROR(VLOOKUP(Form_Responses[[#This Row],[Nombre Técnico]],'masa de trabajo'!$B:$C,2,0),"")</f>
        <v/>
      </c>
    </row>
    <row r="8" spans="1:31" ht="15.75" customHeight="1" x14ac:dyDescent="0.25">
      <c r="A8" s="1">
        <v>46245.569448587965</v>
      </c>
      <c r="B8" s="2">
        <v>0</v>
      </c>
      <c r="C8" s="3" t="s">
        <v>86</v>
      </c>
      <c r="D8" s="3" t="s">
        <v>87</v>
      </c>
      <c r="E8" s="3" t="s">
        <v>56</v>
      </c>
      <c r="F8" s="3" t="s">
        <v>21</v>
      </c>
      <c r="G8" s="3" t="s">
        <v>21</v>
      </c>
      <c r="I8" s="3" t="s">
        <v>22</v>
      </c>
      <c r="J8" s="3" t="s">
        <v>44</v>
      </c>
      <c r="K8" s="3" t="s">
        <v>24</v>
      </c>
      <c r="L8" s="3" t="s">
        <v>88</v>
      </c>
      <c r="M8" s="3" t="s">
        <v>24</v>
      </c>
      <c r="N8" s="3" t="s">
        <v>24</v>
      </c>
      <c r="P8" s="3">
        <v>2</v>
      </c>
      <c r="Q8" s="3" t="s">
        <v>26</v>
      </c>
      <c r="R8" s="3" t="s">
        <v>26</v>
      </c>
      <c r="S8" s="3" t="s">
        <v>89</v>
      </c>
      <c r="T8" s="3">
        <v>4</v>
      </c>
      <c r="U8" s="4" t="s">
        <v>90</v>
      </c>
      <c r="V8" s="4" t="s">
        <v>91</v>
      </c>
      <c r="W8" s="4" t="s">
        <v>92</v>
      </c>
      <c r="X8" s="4" t="s">
        <v>93</v>
      </c>
      <c r="Y8" s="3" t="s">
        <v>33</v>
      </c>
      <c r="Z8" s="3" t="s">
        <v>33</v>
      </c>
      <c r="AA8" s="3">
        <v>9</v>
      </c>
      <c r="AB8" s="3" t="s">
        <v>94</v>
      </c>
      <c r="AC8" s="11" t="str">
        <f>IFERROR(VLOOKUP(Form_Responses[[#This Row],[Nombre Técnico]],'masa de trabajo'!$B:$C,2,0),"")</f>
        <v/>
      </c>
    </row>
    <row r="9" spans="1:31" ht="15.75" customHeight="1" x14ac:dyDescent="0.25">
      <c r="A9" s="1">
        <v>46246.746229016208</v>
      </c>
      <c r="B9" s="2">
        <v>0</v>
      </c>
      <c r="C9" s="3" t="s">
        <v>105</v>
      </c>
      <c r="D9" s="3" t="s">
        <v>55</v>
      </c>
      <c r="E9" s="3" t="s">
        <v>56</v>
      </c>
      <c r="F9" s="3" t="s">
        <v>21</v>
      </c>
      <c r="G9" s="3" t="s">
        <v>21</v>
      </c>
      <c r="I9" s="3" t="s">
        <v>22</v>
      </c>
      <c r="J9" s="3" t="s">
        <v>44</v>
      </c>
      <c r="K9" s="3" t="s">
        <v>24</v>
      </c>
      <c r="L9" s="3" t="s">
        <v>106</v>
      </c>
      <c r="M9" s="3" t="s">
        <v>26</v>
      </c>
      <c r="N9" s="3" t="s">
        <v>26</v>
      </c>
      <c r="Q9" s="3" t="s">
        <v>26</v>
      </c>
      <c r="R9" s="3" t="s">
        <v>26</v>
      </c>
      <c r="S9" s="3" t="s">
        <v>107</v>
      </c>
      <c r="T9" s="3">
        <v>4</v>
      </c>
      <c r="U9" s="4" t="s">
        <v>108</v>
      </c>
      <c r="V9" s="4" t="s">
        <v>109</v>
      </c>
      <c r="W9" s="4" t="s">
        <v>110</v>
      </c>
      <c r="X9" s="4" t="s">
        <v>111</v>
      </c>
      <c r="Y9" s="3" t="s">
        <v>33</v>
      </c>
      <c r="Z9" s="3" t="s">
        <v>33</v>
      </c>
      <c r="AA9" s="3">
        <v>8</v>
      </c>
      <c r="AB9" s="3" t="s">
        <v>112</v>
      </c>
      <c r="AC9" s="11" t="str">
        <f>IFERROR(VLOOKUP(Form_Responses[[#This Row],[Nombre Técnico]],'masa de trabajo'!$B:$C,2,0),"")</f>
        <v/>
      </c>
    </row>
  </sheetData>
  <hyperlinks>
    <hyperlink ref="U2" r:id="rId1" xr:uid="{ECB9C61F-F161-4F4A-8170-27A4409D389E}"/>
    <hyperlink ref="V2" r:id="rId2" xr:uid="{33077E7B-DE7E-454A-BAAC-81A5895A258E}"/>
    <hyperlink ref="W2" r:id="rId3" xr:uid="{DE0E521E-8044-40ED-85CD-8869A0434307}"/>
    <hyperlink ref="X2" r:id="rId4" xr:uid="{D00C0ECA-EC36-4F4E-A834-AF624BDBD56E}"/>
    <hyperlink ref="U3" r:id="rId5" xr:uid="{A3C67D97-DD1B-458B-9AC1-E1BE53FE8A36}"/>
    <hyperlink ref="V3" r:id="rId6" xr:uid="{84494448-15AA-4E08-B261-110E6530D767}"/>
    <hyperlink ref="X3" r:id="rId7" xr:uid="{902E075E-066C-4968-B01B-82B8EEAA71C2}"/>
    <hyperlink ref="U4" r:id="rId8" xr:uid="{D1FE0C9F-7EB6-4D45-833D-5C47127BFFE0}"/>
    <hyperlink ref="V4" r:id="rId9" xr:uid="{3DC0F4C9-5BFA-4993-A71C-0035B4302991}"/>
    <hyperlink ref="X4" r:id="rId10" xr:uid="{C79E6FE6-C1C6-49E7-B991-807333642073}"/>
    <hyperlink ref="U5" r:id="rId11" xr:uid="{9ABA903E-319A-46D8-99D8-58C990695080}"/>
    <hyperlink ref="V5" r:id="rId12" xr:uid="{F52A1039-4F1A-4E97-BA0F-3512963D8A14}"/>
    <hyperlink ref="W5" r:id="rId13" xr:uid="{36046C2B-5137-42F0-8CAC-F522D68941FC}"/>
    <hyperlink ref="X5" r:id="rId14" xr:uid="{CD9D35E1-E24D-41E7-8A27-D1A96256E556}"/>
    <hyperlink ref="U6" r:id="rId15" xr:uid="{2487864B-6356-4F12-9315-7FCA70BB13E6}"/>
    <hyperlink ref="V6" r:id="rId16" xr:uid="{74291270-3351-4828-A536-EFC37237DC27}"/>
    <hyperlink ref="W6" r:id="rId17" xr:uid="{53170AC8-3F8D-46F6-A487-32E75E7ED861}"/>
    <hyperlink ref="X6" r:id="rId18" xr:uid="{BC429F76-876A-485D-B4A4-1A7763A39E3E}"/>
    <hyperlink ref="U7" r:id="rId19" xr:uid="{F17665B3-2253-480E-ADBF-D75AA532B8CC}"/>
    <hyperlink ref="V7" r:id="rId20" xr:uid="{D77891B9-D28E-4348-BBC3-21FB38BEAAAD}"/>
    <hyperlink ref="X7" r:id="rId21" xr:uid="{F205C755-7267-4BC7-AA4F-F28A862427BA}"/>
    <hyperlink ref="U8" r:id="rId22" xr:uid="{9AE81CEA-003A-4FCA-8CF2-7AB993D2D2F4}"/>
    <hyperlink ref="V8" r:id="rId23" xr:uid="{105B5417-1443-4706-8201-B786A3352CBB}"/>
    <hyperlink ref="W8" r:id="rId24" xr:uid="{7882F5A2-112A-4170-BD56-BC50F467443F}"/>
    <hyperlink ref="X8" r:id="rId25" xr:uid="{C91E0FA6-3D58-449F-8EDE-BA7D700AF1CD}"/>
    <hyperlink ref="U9" r:id="rId26" xr:uid="{40BEB3D2-4D5F-40C0-9148-BE0EA03719E2}"/>
    <hyperlink ref="V9" r:id="rId27" xr:uid="{E0802AEB-7A06-44B7-8EE0-B6BBDDFC8C3B}"/>
    <hyperlink ref="W9" r:id="rId28" xr:uid="{171EECC2-3B25-4FD0-9CF6-07CE04850B59}"/>
    <hyperlink ref="X9" r:id="rId29" xr:uid="{E941E6C1-80FD-4B85-9204-4767B9AE5805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4"/>
  <sheetViews>
    <sheetView workbookViewId="0">
      <selection activeCell="D2" sqref="D2"/>
    </sheetView>
  </sheetViews>
  <sheetFormatPr baseColWidth="10" defaultRowHeight="13.2" x14ac:dyDescent="0.25"/>
  <cols>
    <col min="2" max="2" width="36.5546875" bestFit="1" customWidth="1"/>
    <col min="3" max="3" width="29.5546875" style="11" bestFit="1" customWidth="1"/>
    <col min="4" max="4" width="47.6640625" customWidth="1"/>
  </cols>
  <sheetData>
    <row r="1" spans="2:4" x14ac:dyDescent="0.25">
      <c r="B1" s="9" t="s">
        <v>113</v>
      </c>
      <c r="C1" s="13" t="s">
        <v>51</v>
      </c>
      <c r="D1" s="9" t="s">
        <v>52</v>
      </c>
    </row>
    <row r="2" spans="2:4" x14ac:dyDescent="0.25">
      <c r="B2" s="8" t="s">
        <v>19</v>
      </c>
      <c r="C2" s="11" t="s">
        <v>26</v>
      </c>
    </row>
    <row r="3" spans="2:4" x14ac:dyDescent="0.25">
      <c r="B3" s="12" t="s">
        <v>36</v>
      </c>
      <c r="C3" s="11" t="s">
        <v>26</v>
      </c>
    </row>
    <row r="4" spans="2:4" x14ac:dyDescent="0.25">
      <c r="B4" s="8" t="s">
        <v>66</v>
      </c>
      <c r="C4" s="1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2026-08-13T16:38:26Z</dcterms:modified>
</cp:coreProperties>
</file>