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2278273C-015F-4A41-9FE1-B99DBE275B0B}"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8" i="1" l="1"/>
  <c r="AH27" i="1"/>
  <c r="AH3" i="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<sst xmlns="http://schemas.openxmlformats.org/spreadsheetml/2006/main" count="691" uniqueCount="270">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</sst>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9">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8" headerRowDxfId="34">
  <autoFilter ref="A1:AJ28"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16"/>
    <tableColumn id="16" xr3:uid="{00000000-0010-0000-0000-000010000000}" name="Cantidad Decodificadores" dataDxfId="15"/>
    <tableColumn id="17" xr3:uid="{00000000-0010-0000-0000-000011000000}" name="Capacitación  al Cliente" dataDxfId="14"/>
    <tableColumn id="18" xr3:uid="{00000000-0010-0000-0000-000012000000}" name="Deja Área de Trabajo Limpio " dataDxfId="13"/>
    <tableColumn id="19" xr3:uid="{00000000-0010-0000-0000-000013000000}" name="Quien recibe en domicilio" dataDxfId="12"/>
    <tableColumn id="20" xr3:uid="{00000000-0010-0000-0000-000014000000}" name="Nota de Estética del cableado " dataDxfId="11"/>
    <tableColumn id="21" xr3:uid="{00000000-0010-0000-0000-000015000000}" name="Fotografía  Módem" dataDxfId="10"/>
    <tableColumn id="22" xr3:uid="{00000000-0010-0000-0000-000016000000}" name="Fotografía Roseta  Óptica Atornillada " dataDxfId="9"/>
    <tableColumn id="23" xr3:uid="{00000000-0010-0000-0000-000017000000}" name="Fotografías Pasa-muros " dataDxfId="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32"/>
    <tableColumn id="36" xr3:uid="{2662FBBF-EEE5-4E82-98C0-8584BF84424E}" name="Drop se encuentra encuentra dentro de norma de instalaciones " dataDxfId="2"/>
    <tableColumn id="35" xr3:uid="{CF2913D1-167E-463D-9DEB-ADD1D59E4B8D}" name="Reutiliza Instalación " dataDxfId="1"/>
    <tableColumn id="34" xr3:uid="{1C1000A3-E2F8-4E7C-A510-442774329E98}" name="Utiliza Alcohol isopropilico " dataDxfId="3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84" Type="http://schemas.openxmlformats.org/officeDocument/2006/relationships/hyperlink" Target="https://drive.google.com/open?id=1Ys6nt4mKfVNhwTJ1l5mGZmPtCDTs2wiD" TargetMode="External"/><Relationship Id="rId89" Type="http://schemas.openxmlformats.org/officeDocument/2006/relationships/hyperlink" Target="https://drive.google.com/open?id=1m-eN6jCH8z1x3lEFlvmJ5RNYEoGDthmr"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5" Type="http://schemas.openxmlformats.org/officeDocument/2006/relationships/hyperlink" Target="https://drive.google.com/open?id=12iqDQ8PRPzKO0ZtxepVFD_lo9Oak1i0A" TargetMode="External"/><Relationship Id="rId90" Type="http://schemas.openxmlformats.org/officeDocument/2006/relationships/hyperlink" Target="https://drive.google.com/open?id=1Srw9ivWGChc4dxUZ3qKDvzJAoXfnwUL0"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93" Type="http://schemas.openxmlformats.org/officeDocument/2006/relationships/hyperlink" Target="https://drive.google.com/open?id=1jHJg4Ti1HFMCdoVtovSQT6DcEg0-a5gp" TargetMode="Externa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91" Type="http://schemas.openxmlformats.org/officeDocument/2006/relationships/hyperlink" Target="https://drive.google.com/open?id=1lggRjpO-1vj3C15DfSKMfH4QeuUpD_tr"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94" Type="http://schemas.openxmlformats.org/officeDocument/2006/relationships/table" Target="../tables/table1.xm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8"/>
  <sheetViews>
    <sheetView tabSelected="1" workbookViewId="0">
      <pane ySplit="1" topLeftCell="A2" activePane="bottomLeft" state="frozen"/>
      <selection pane="bottomLeft" sqref="A1:AG28"/>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row r="27" spans="1:35" ht="15.75" customHeight="1" x14ac:dyDescent="0.25">
      <c r="A27" s="1">
        <v>46260.768395266205</v>
      </c>
      <c r="B27" s="12">
        <v>6</v>
      </c>
      <c r="C27" s="3" t="s">
        <v>253</v>
      </c>
      <c r="D27" s="3" t="s">
        <v>254</v>
      </c>
      <c r="E27" s="3" t="s">
        <v>53</v>
      </c>
      <c r="F27" s="3" t="s">
        <v>18</v>
      </c>
      <c r="G27" s="3" t="s">
        <v>18</v>
      </c>
      <c r="I27" s="3" t="s">
        <v>129</v>
      </c>
      <c r="J27" s="3" t="s">
        <v>20</v>
      </c>
      <c r="K27" s="3" t="s">
        <v>23</v>
      </c>
      <c r="L27" s="3" t="s">
        <v>255</v>
      </c>
      <c r="N27" s="3" t="s">
        <v>21</v>
      </c>
      <c r="P27" s="3">
        <v>1</v>
      </c>
      <c r="Q27" s="3" t="s">
        <v>23</v>
      </c>
      <c r="R27" s="3" t="s">
        <v>23</v>
      </c>
      <c r="S27" s="3" t="s">
        <v>256</v>
      </c>
      <c r="T27" s="3">
        <v>4</v>
      </c>
      <c r="U27" s="4" t="s">
        <v>257</v>
      </c>
      <c r="V27" s="4" t="s">
        <v>258</v>
      </c>
      <c r="W27" s="4" t="s">
        <v>259</v>
      </c>
      <c r="X27" s="4" t="s">
        <v>260</v>
      </c>
      <c r="Y27" s="3" t="s">
        <v>30</v>
      </c>
      <c r="Z27" s="3" t="s">
        <v>30</v>
      </c>
      <c r="AA27" s="3">
        <v>9</v>
      </c>
      <c r="AB27" s="3" t="s">
        <v>261</v>
      </c>
      <c r="AD27" s="3" t="s">
        <v>23</v>
      </c>
      <c r="AE27" s="3" t="s">
        <v>21</v>
      </c>
      <c r="AG27" s="3" t="s">
        <v>21</v>
      </c>
      <c r="AH27" s="18" t="str">
        <f>IFERROR(VLOOKUP(Form_Responses[[#This Row],[Nombre Técnico]],'masa de trabajo'!$B:$C,2,0),"")</f>
        <v/>
      </c>
    </row>
    <row r="28" spans="1:35" ht="15.75" customHeight="1" x14ac:dyDescent="0.25">
      <c r="A28" s="1">
        <v>46261.683956793982</v>
      </c>
      <c r="B28" s="12">
        <v>10</v>
      </c>
      <c r="C28" s="3" t="s">
        <v>262</v>
      </c>
      <c r="D28" s="3" t="s">
        <v>84</v>
      </c>
      <c r="E28" s="3" t="s">
        <v>53</v>
      </c>
      <c r="F28" s="3" t="s">
        <v>18</v>
      </c>
      <c r="G28" s="3" t="s">
        <v>18</v>
      </c>
      <c r="I28" s="3" t="s">
        <v>19</v>
      </c>
      <c r="J28" s="3" t="s">
        <v>41</v>
      </c>
      <c r="K28" s="3" t="s">
        <v>23</v>
      </c>
      <c r="L28" s="3" t="s">
        <v>263</v>
      </c>
      <c r="M28" s="3" t="s">
        <v>23</v>
      </c>
      <c r="N28" s="3" t="s">
        <v>23</v>
      </c>
      <c r="Q28" s="3" t="s">
        <v>23</v>
      </c>
      <c r="R28" s="3" t="s">
        <v>23</v>
      </c>
      <c r="S28" s="3" t="s">
        <v>264</v>
      </c>
      <c r="T28" s="3">
        <v>4</v>
      </c>
      <c r="U28" s="4" t="s">
        <v>265</v>
      </c>
      <c r="V28" s="4" t="s">
        <v>266</v>
      </c>
      <c r="W28" s="4" t="s">
        <v>267</v>
      </c>
      <c r="X28" s="4" t="s">
        <v>268</v>
      </c>
      <c r="Y28" s="3" t="s">
        <v>30</v>
      </c>
      <c r="Z28" s="3" t="s">
        <v>30</v>
      </c>
      <c r="AA28" s="3">
        <v>10</v>
      </c>
      <c r="AB28" s="3" t="s">
        <v>269</v>
      </c>
      <c r="AC28" s="3" t="s">
        <v>23</v>
      </c>
      <c r="AD28" s="3" t="s">
        <v>23</v>
      </c>
      <c r="AE28" s="3" t="s">
        <v>21</v>
      </c>
      <c r="AF28" s="3" t="s">
        <v>23</v>
      </c>
      <c r="AG28" s="3" t="s">
        <v>21</v>
      </c>
      <c r="AH28" s="18" t="str">
        <f>IFERROR(VLOOKUP(Form_Responses[[#This Row],[Nombre Técnico]],'masa de trabajo'!$B:$C,2,0),"")</f>
        <v/>
      </c>
    </row>
  </sheetData>
  <phoneticPr fontId="5" type="noConversion"/>
  <hyperlinks>
    <hyperlink ref="U2" r:id="rId1" xr:uid="{8C64343C-526A-4B28-8576-E19E52B31658}"/>
    <hyperlink ref="V2" r:id="rId2" xr:uid="{9D653BA2-6F4A-4083-82FE-C7CE6C8427D0}"/>
    <hyperlink ref="W2" r:id="rId3" xr:uid="{8B2A39E4-BBC6-4526-B4C6-D84BA79D8123}"/>
    <hyperlink ref="X2" r:id="rId4" xr:uid="{4F4C22C6-238B-43C7-8657-F9AC85EA1DC3}"/>
    <hyperlink ref="U3" r:id="rId5" xr:uid="{09685320-B764-47A6-AA9A-6F7527FD6DA0}"/>
    <hyperlink ref="V3" r:id="rId6" xr:uid="{0BA08CE9-3749-48A8-A945-52281F4BE0F8}"/>
    <hyperlink ref="X3" r:id="rId7" xr:uid="{CD06B811-85FE-4802-97B8-76E8B8F961D3}"/>
    <hyperlink ref="U4" r:id="rId8" xr:uid="{2CDF3D2E-571D-4583-ACEB-F2AEB7F8BF3C}"/>
    <hyperlink ref="V4" r:id="rId9" xr:uid="{B5FE6F85-91AC-469F-BC6D-BB2713B2ABF3}"/>
    <hyperlink ref="X4" r:id="rId10" xr:uid="{72376204-8DA1-4612-A7C0-FC4A43E7E296}"/>
    <hyperlink ref="U5" r:id="rId11" xr:uid="{201FD048-2E62-4B01-BEAA-E7CD61FF88AA}"/>
    <hyperlink ref="V5" r:id="rId12" xr:uid="{4770188E-DEC4-4F8F-B9D6-FBA186156C82}"/>
    <hyperlink ref="W5" r:id="rId13" xr:uid="{3B5096CD-2A5A-46EB-B6E7-4591FB11B2F5}"/>
    <hyperlink ref="X5" r:id="rId14" xr:uid="{016F05EB-22E0-432E-8D45-DE074ED2643B}"/>
    <hyperlink ref="U6" r:id="rId15" xr:uid="{5003DA59-0CFC-4376-A633-8EEBFD160F28}"/>
    <hyperlink ref="V6" r:id="rId16" xr:uid="{0AC0789F-4D6B-457B-B1E7-23C0D58B412C}"/>
    <hyperlink ref="W6" r:id="rId17" xr:uid="{17DE89CB-51DA-4BEA-B5A0-03E525DAB18D}"/>
    <hyperlink ref="X6" r:id="rId18" xr:uid="{B2974A77-9DEB-4FB4-9255-AC6B02CB075B}"/>
    <hyperlink ref="U7" r:id="rId19" xr:uid="{55CAEB42-B519-41FD-8E03-26B54C127532}"/>
    <hyperlink ref="V7" r:id="rId20" xr:uid="{7318B7DB-F0C8-44FE-AF4B-EADD3AE654A5}"/>
    <hyperlink ref="X7" r:id="rId21" xr:uid="{6F82D06A-A23F-4556-87E5-445F82DC7DB0}"/>
    <hyperlink ref="U8" r:id="rId22" xr:uid="{CD018A83-D0E8-4AF6-8502-D892768E381D}"/>
    <hyperlink ref="V8" r:id="rId23" xr:uid="{9D3550E8-37AF-4BA4-92FA-85FCFA07E0F5}"/>
    <hyperlink ref="W8" r:id="rId24" xr:uid="{7372E730-DF81-4FDE-8B97-96C9FEE057D5}"/>
    <hyperlink ref="X8" r:id="rId25" xr:uid="{6B3B6F37-513F-4166-BDFC-ECB90F056EFF}"/>
    <hyperlink ref="U9" r:id="rId26" xr:uid="{B5D186C8-C32F-4B20-833C-5462706BA857}"/>
    <hyperlink ref="V9" r:id="rId27" xr:uid="{5F245F2C-E07C-4279-ABBE-9510854143A5}"/>
    <hyperlink ref="W9" r:id="rId28" xr:uid="{B84E79AE-B485-4619-B582-7DFDE18FFF9B}"/>
    <hyperlink ref="X9" r:id="rId29" xr:uid="{4DF5AA40-E5C6-4DCB-A642-85D8AD75E374}"/>
    <hyperlink ref="U10" r:id="rId30" xr:uid="{664D6622-56DF-4DA9-90ED-820FFA5A72F4}"/>
    <hyperlink ref="V10" r:id="rId31" xr:uid="{E4E659FD-DDB9-419F-92F3-8AA65F75BE1B}"/>
    <hyperlink ref="X10" r:id="rId32" xr:uid="{4067407B-79CE-4012-82C1-E81C2456DCED}"/>
    <hyperlink ref="U11" r:id="rId33" xr:uid="{B5262957-3D50-4EFA-B943-4B1918E2A203}"/>
    <hyperlink ref="V11" r:id="rId34" xr:uid="{EE5ED25B-DC15-43CB-A9A2-A89EA2B31804}"/>
    <hyperlink ref="W11" r:id="rId35" xr:uid="{05E6AF46-0BA9-42F4-8406-A45F711EAF51}"/>
    <hyperlink ref="X11" r:id="rId36" xr:uid="{BB62BC1F-3FFB-4722-BC39-0F4B0A6417C7}"/>
    <hyperlink ref="U13" r:id="rId37" xr:uid="{6FE7EEB5-F58C-45A1-9674-849E92C74DAF}"/>
    <hyperlink ref="V13" r:id="rId38" xr:uid="{7BD32E1A-C89E-4A7F-83B7-8DFDC6428E09}"/>
    <hyperlink ref="W13" r:id="rId39" xr:uid="{96E60C50-FC4B-48BA-9622-CE58440A9E7F}"/>
    <hyperlink ref="X13" r:id="rId40" xr:uid="{DD2006DB-5219-47F1-8616-B56BC30403BE}"/>
    <hyperlink ref="W14" r:id="rId41" xr:uid="{7076C65A-3953-4A04-82F7-456FA112AF31}"/>
    <hyperlink ref="X14" r:id="rId42" xr:uid="{AA9CC80A-3144-4E5A-9459-B39CF1EEAB23}"/>
    <hyperlink ref="U15" r:id="rId43" xr:uid="{7ECD10B9-8CC8-4205-AD76-89444A54AFA2}"/>
    <hyperlink ref="V15" r:id="rId44" xr:uid="{3A0DD20B-169A-4DC4-AA2E-5E92E6A2BE57}"/>
    <hyperlink ref="X15" r:id="rId45" xr:uid="{6312D9B0-2F6C-4658-9934-CF77100B3D10}"/>
    <hyperlink ref="U16" r:id="rId46" xr:uid="{FA99CB51-8827-42E3-BB59-AC9C0FA379B6}"/>
    <hyperlink ref="V16" r:id="rId47" xr:uid="{1444A9BF-B425-4B8F-94E7-B101AC9F8315}"/>
    <hyperlink ref="W16" r:id="rId48" xr:uid="{6139E2C1-FEDC-41BE-8FD9-B1B646B7237F}"/>
    <hyperlink ref="X16" r:id="rId49" xr:uid="{DD2E3866-AFD2-4C13-A50A-EF76CB6AC67D}"/>
    <hyperlink ref="U17" r:id="rId50" xr:uid="{161CFA81-9EFB-4502-B11C-DF233237B39A}"/>
    <hyperlink ref="V17" r:id="rId51" xr:uid="{160D2BC2-70C9-4409-86CE-53288F10E9C8}"/>
    <hyperlink ref="X17" r:id="rId52" xr:uid="{12F1043F-22F2-43CD-B193-17DB8C5D8322}"/>
    <hyperlink ref="U18" r:id="rId53" xr:uid="{CE01F050-B4DF-4452-9AA8-BFDB93AEF51A}"/>
    <hyperlink ref="V18" r:id="rId54" xr:uid="{A18169B3-5CD5-4B48-9E54-055567A1B322}"/>
    <hyperlink ref="W18" r:id="rId55" xr:uid="{54457CC4-387F-4FF0-9DBF-B3F425266519}"/>
    <hyperlink ref="X18" r:id="rId56" xr:uid="{DC91F789-1F7F-4144-838A-E1742BED271C}"/>
    <hyperlink ref="U19" r:id="rId57" xr:uid="{54AA98A0-CFF0-42B7-893E-D4C73DD5D80F}"/>
    <hyperlink ref="V19" r:id="rId58" xr:uid="{B1E865F5-13CD-4F9E-96D3-5E5905587858}"/>
    <hyperlink ref="W19" r:id="rId59" xr:uid="{AF25B50D-EE83-4B0A-BAA8-AC47779F75D9}"/>
    <hyperlink ref="X19" r:id="rId60" xr:uid="{F238C294-C13D-47C7-85D4-F8FE92E8291B}"/>
    <hyperlink ref="U20" r:id="rId61" xr:uid="{E8F47B23-0D4F-470F-96FF-4F768A4064B6}"/>
    <hyperlink ref="V20" r:id="rId62" xr:uid="{5B4E2EDE-D2B4-4CB0-A6B5-BAF8287676AB}"/>
    <hyperlink ref="W20" r:id="rId63" xr:uid="{E693DA2C-CC09-478E-8B13-42C11579299B}"/>
    <hyperlink ref="X20" r:id="rId64" xr:uid="{07163E49-7BBB-4542-A36E-66D18BDD5D23}"/>
    <hyperlink ref="U21" r:id="rId65" xr:uid="{D52EED16-54EF-4534-B9FF-6C4289308497}"/>
    <hyperlink ref="V21" r:id="rId66" xr:uid="{6DB32419-2C70-479C-BAB0-F6A962B2DEAA}"/>
    <hyperlink ref="X21" r:id="rId67" xr:uid="{0B158078-9C65-4FE7-BA1D-6D0D71BB7F4F}"/>
    <hyperlink ref="U22" r:id="rId68" xr:uid="{1377CC36-E4E0-4B23-BD4F-3ED9C1325740}"/>
    <hyperlink ref="V22" r:id="rId69" xr:uid="{86317182-A8E8-4B1A-8FA8-07F93F5BB629}"/>
    <hyperlink ref="W22" r:id="rId70" xr:uid="{E1B4E999-2DA5-4C3E-A573-A2609854154B}"/>
    <hyperlink ref="X22" r:id="rId71" xr:uid="{C348449F-1318-4DC5-BCFB-8FDCF766E5C3}"/>
    <hyperlink ref="U23" r:id="rId72" xr:uid="{FDE79ABD-F4C7-45FA-8948-8FDD482AEB18}"/>
    <hyperlink ref="V23" r:id="rId73" xr:uid="{18A97926-8B71-4B6C-943A-79CA418F4AAA}"/>
    <hyperlink ref="W23" r:id="rId74" xr:uid="{8D24532B-A17A-4CF8-AF6D-5F6E303626CF}"/>
    <hyperlink ref="X23" r:id="rId75" xr:uid="{3D9F784F-8E75-4A41-9177-789EC3A2419C}"/>
    <hyperlink ref="U24" r:id="rId76" xr:uid="{7B1F70A0-5E21-456E-9103-9352FB96BCF5}"/>
    <hyperlink ref="V24" r:id="rId77" xr:uid="{45CF8DB1-6158-48BF-8D83-8DF8DCB93B68}"/>
    <hyperlink ref="W24" r:id="rId78" xr:uid="{3D58CA53-E8F5-4AA2-9D10-ECD436CDE9C5}"/>
    <hyperlink ref="X24" r:id="rId79" xr:uid="{63EDAC7D-FF07-4CC0-9EF6-63D207482A1F}"/>
    <hyperlink ref="U25" r:id="rId80" xr:uid="{2CA8E5E1-8CF0-4E21-BEDF-A090EFE04CDA}"/>
    <hyperlink ref="V25" r:id="rId81" xr:uid="{435B8CEE-A262-4EB1-BE17-70AB20DC7E98}"/>
    <hyperlink ref="X25" r:id="rId82" xr:uid="{226F5BC3-433A-4681-AAD6-6C4654365FD8}"/>
    <hyperlink ref="U26" r:id="rId83" xr:uid="{46866D73-08F8-4553-8294-C6B4BEA99F6A}"/>
    <hyperlink ref="V26" r:id="rId84" xr:uid="{14195F61-AFA9-4AA0-9A5B-DA0D420888F6}"/>
    <hyperlink ref="W26" r:id="rId85" xr:uid="{4F777BDC-5D92-41BA-8591-90C57D6C0190}"/>
    <hyperlink ref="U27" r:id="rId86" xr:uid="{1D3281D3-4166-47E4-BC75-14B9C89CBBD4}"/>
    <hyperlink ref="V27" r:id="rId87" xr:uid="{606ADD54-D7C3-437E-B595-C9EDE7257A88}"/>
    <hyperlink ref="W27" r:id="rId88" xr:uid="{6E7154D6-744F-4CAD-91D2-C15725CD85BA}"/>
    <hyperlink ref="X27" r:id="rId89" xr:uid="{6DF965B6-03BB-4CB6-91D8-140EB0B11E39}"/>
    <hyperlink ref="U28" r:id="rId90" xr:uid="{B58DC89A-5323-42A5-B2B8-7420C7433323}"/>
    <hyperlink ref="V28" r:id="rId91" xr:uid="{C0D48A60-2C0D-409E-9F7F-C213B85E9EF1}"/>
    <hyperlink ref="W28" r:id="rId92" xr:uid="{F62F96C9-9E0E-42ED-8775-D48CCE86EC63}"/>
    <hyperlink ref="X28" r:id="rId93" xr:uid="{4DF60DB6-E54E-4C9D-AB7D-1581DA2ACC6E}"/>
  </hyperlinks>
  <pageMargins left="0.7" right="0.7" top="0.75" bottom="0.75" header="0.3" footer="0.3"/>
  <tableParts count="1">
    <tablePart r:id="rId9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2026-08-28T13:28:18Z</dcterms:modified>
</cp:coreProperties>
</file>