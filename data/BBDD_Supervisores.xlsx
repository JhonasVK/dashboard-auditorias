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 VTR\data\"/>
    </mc:Choice>
  </mc:AlternateContent>
  <xr:revisionPtr revIDLastSave="0" documentId="13_ncr:1_{22C44439-C3C5-4E81-9CBE-0CDF5A4E7214}"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50" i="1" l="1"/>
  <c r="AI50" i="1"/>
  <c r="AJ50" i="1"/>
  <c r="AH48" i="1"/>
  <c r="AH49" i="1"/>
  <c r="AI48" i="1"/>
  <c r="AI49" i="1"/>
  <c r="AJ48" i="1"/>
  <c r="AJ49" i="1"/>
  <c r="AH47" i="1"/>
  <c r="AI47" i="1"/>
  <c r="AJ47" i="1"/>
  <c r="AH45" i="1"/>
  <c r="AH46" i="1"/>
  <c r="AI45" i="1"/>
  <c r="AI46" i="1"/>
  <c r="AJ45" i="1"/>
  <c r="AJ46" i="1"/>
  <c r="AH44" i="1"/>
  <c r="AI44" i="1"/>
  <c r="AJ44" i="1"/>
  <c r="AH43" i="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<sst xmlns="http://schemas.openxmlformats.org/spreadsheetml/2006/main" count="1335" uniqueCount="438">
  <si>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</si>
  <si>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</si>
  <si>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</si>
  <si>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</si>
  <si>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</si>
  <si>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</si>
  <si>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</si>
  <si>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</si>
  <si>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</si>
  <si>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</si>
  <si>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</si>
  <si>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</si>
  <si>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</si>
  <si>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</si>
  <si>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</si>
  <si>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</si>
  <si>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</si>
  <si>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</si>
  <si>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</si>
  <si>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</si>
  <si>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</si>
  <si>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</si>
  <si>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</si>
  <si>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</si>
  <si>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</si>
  <si>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</si>
  <si>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</si>
  <si>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</si>
  <si>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</si>
  <si>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</si>
  <si>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</si>
  <si>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</si>
  <si>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</si>
  <si>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</si>
  <si>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</si>
  <si>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</si>
  <si>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</si>
  <si>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</si>
  <si>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</si>
  <si>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</si>
  <si>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</si>
  <si>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</si>
  <si>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</si>
  <si>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</si>
  <si>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</si>
  <si>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</si>
  <si>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</si>
  <si>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</si>
  <si>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</si>
  <si>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</si>
  <si>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</si>
  <si>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</si>
  <si>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</si>
  <si>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</si>
  <si>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</si>
  <si>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</si>
  <si>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</si>
  <si>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</si>
  <si>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</si>
  <si>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</si>
  <si>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</si>
  <si>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</si>
  <si>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</si>
  <si>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</si>
  <si>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</si>
  <si>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</si>
  <si>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</si>
  <si>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</si>
  <si>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</si>
  <si>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</si>
  <si>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</si>
  <si>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</si>
  <si>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</si>
  <si>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</si>
  <si>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</si>
  <si>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</si>
  <si>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</si>
  <si>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</si>
  <si>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</si>
  <si>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</si>
  <si>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</si>
  <si>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</si>
  <si>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</si>
  <si>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</si>
  <si>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</si>
  <si>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</si>
  <si>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</si>
  <si>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</si>
  <si>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</si>
  <si>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</si>
  <si>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</si>
  <si>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</si>
  <si>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</si>
  <si>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</si>
  <si>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</si>
  <si>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</si>
  <si>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</si>
  <si>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</si>
  <si>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</si>
  <si>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</si>
  <si>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</si>
  <si>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</si>
  <si>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</si>
  <si>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</si>
  <si>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</si>
  <si>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</si>
  <si>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</si>
  <si>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</si>
  <si>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</si>
  <si>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</si>
  <si>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</si>
  <si>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</si>
  <si>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</si>
  <si>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</si>
  <si>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</si>
  <si>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</si>
  <si>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</si>
  <si>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</si>
  <si>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</si>
  <si>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</si>
  <si>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</si>
  <si>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</si>
  <si>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</si>
  <si>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</si>
  <si>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</si>
  <si>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</si>
  <si>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</si>
  <si>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</si>
  <si>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</si>
  <si>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</si>
  <si>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</si>
  <si>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</si>
  <si>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</si>
  <si>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</si>
  <si>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</si>
  <si>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</si>
  <si>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</si>
  <si>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</si>
  <si>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</si>
  <si>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</si>
  <si>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</si>
  <si>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</si>
  <si>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</si>
  <si>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</si>
  <si>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</si>
  <si>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</si>
  <si>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</si>
  <si>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</si>
  <si>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</si>
  <si>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</si>
  <si>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</si>
  <si>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</si>
  <si>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</si>
  <si>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</si>
  <si>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</si>
  <si>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</si>
  <si>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</si>
  <si>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</si>
  <si>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</si>
  <si>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</si>
  <si>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</si>
  <si>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</si>
  <si>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</si>
  <si>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</si>
  <si>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</si>
  <si>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</si>
  <si>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</si>
  <si>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</si>
  <si>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</si>
  <si>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</si>
  <si>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</si>
  <si>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</si>
  <si>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</si>
  <si>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</si>
  <si>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</si>
  <si>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</si>
  <si>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</si>
  <si>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</si>
  <si>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</si>
  <si>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</si>
  <si>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</si>
  <si>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</si>
  <si>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</si>
  <si>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</si>
  <si>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</si>
  <si>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</si>
  <si>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</si>
  <si>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</si>
  <si>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</si>
  <si>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</si>
  <si>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</si>
  <si>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</si>
  <si>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</si>
  <si>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</si>
  <si>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</si>
  <si>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</si>
  <si>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</si>
  <si>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</si>
  <si>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</si>
  <si>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</si>
  <si>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</si>
  <si>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</si>
  <si>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</si>
  <si>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</si>
  <si>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</si>
  <si>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</si>
  <si>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</si>
  <si>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</si>
  <si>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</si>
  <si>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</si>
  <si>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</si>
  <si>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</si>
  <si>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</si>
  <si>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</si>
  <si>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</si>
  <si>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</si>
  <si>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</si>
  <si>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</si>
  <si>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</si>
  <si>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</si>
  <si>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</si>
  <si>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</si>
  <si>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</si>
  <si>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</si>
  <si>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</si>
  <si>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</si>
  <si>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</si>
  <si>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</si>
  <si>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</si>
  <si>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</si>
  <si>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</si>
  <si>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</si>
  <si>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</si>
  <si>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</si>
  <si>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</si>
  <si>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</si>
  <si>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</si>
  <si>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</si>
  <si>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</si>
  <si>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</si>
  <si>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</si>
  <si>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</si>
  <si>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</si>
  <si>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</si>
  <si>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</si>
  <si>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</si>
  <si>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</si>
  <si>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</si>
  <si>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</si>
  <si>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</si>
  <si>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</si>
  <si>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</si>
  <si>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</si>
  <si>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</si>
  <si>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</si>
  <si>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</si>
  <si>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</si>
  <si>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</si>
  <si>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</si>
  <si>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</si>
  <si>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</si>
  <si>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</si>
  <si>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</si>
  <si>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</si>
  <si>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</si>
  <si>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</si>
  <si>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</si>
  <si>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</si>
  <si>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</si>
  <si>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</si>
  <si>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</si>
  <si>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</si>
  <si>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</si>
  <si>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</si>
  <si>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</si>
  <si>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</si>
  <si>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</si>
  <si>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</si>
  <si>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</si>
  <si>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</si>
  <si>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</si>
  <si>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</si>
  <si>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</si>
  <si>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</si>
  <si>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</si>
  <si>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</si>
  <si>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</si>
  <si>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</si>
  <si>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</si>
  <si>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</si>
  <si>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</si>
  <si>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</si>
  <si>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</si>
  <si>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</si>
  <si>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</si>
  <si>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</si>
  <si>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</si>
  <si>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</si>
  <si>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</si>
  <si>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</si>
  <si>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</si>
  <si>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</si>
  <si>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</si>
  <si>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</si>
  <si>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</si>
  <si>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</si>
  <si>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</si>
  <si>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</si>
  <si>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</si>
  <si>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</si>
  <si>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</si>
  <si>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</si>
  <si>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</si>
  <si>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</si>
  <si>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</si>
  <si>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</si>
  <si>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</si>
  <si>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</si>
  <si>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</si>
  <si>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</si>
  <si>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</si>
  <si>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</si>
  <si>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</si>
  <si>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</si>
  <si>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</si>
  <si>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</si>
  <si>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</si>
  <si>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</si>
  <si>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</si>
  <si>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</si>
  <si>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</si>
  <si>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</si>
  <si>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</si>
  <si>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</si>
  <si>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</si>
  <si>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</si>
  <si>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</si>
  <si>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</si>
  <si>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</si>
  <si>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</si>
  <si>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</si>
  <si>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</si>
  <si>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</si>
  <si>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</si>
  <si>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</si>
  <si>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</si>
  <si>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</si>
  <si>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</si>
  <si>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</si>
  <si>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</si>
  <si>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</si>
  <si>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</si>
  <si>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</si>
  <si>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</si>
  <si>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</si>
  <si>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</si>
  <si>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</si>
  <si>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</si>
  <si>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</si>
  <si>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</si>
  <si>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</si>
  <si>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</si>
  <si>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</si>
  <si>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</si>
  <si>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</si>
  <si>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</si>
  <si>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</si>
  <si>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</si>
  <si>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</si>
  <si>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</si>
  <si>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</si>
  <si>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</si>
  <si>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</si>
  <si>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</si>
  <si>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</si>
  <si>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</si>
  <si>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</si>
  <si>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</si>
  <si>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</si>
  <si>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</si>
  <si>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</si>
  <si>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</si>
  <si>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</si>
  <si>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</si>
  <si>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</si>
  <si>
    <t>1-3NQ40XW0</t>
  </si>
  <si>
    <t xml:space="preserve">Juan Martinez De Rosa 5093, Quinta Normal </t>
  </si>
  <si>
    <t>Ricardo Morales</t>
  </si>
  <si>
    <t>https://drive.google.com/open?id=1FPvFPDgEnnypJWf0VXmV29yOAdaRKUZR</t>
  </si>
  <si>
    <t>https://drive.google.com/open?id=1otNSCl6WVib1dsbC8I8_nAyXRJ9qrRVm</t>
  </si>
  <si>
    <t>https://drive.google.com/open?id=10tliLsuE2PB_Jc-GAEJOLCkIX_U0HfhN</t>
  </si>
  <si>
    <t>https://drive.google.com/open?id=1Qp5ezsgZAQ38PrHjL_3U5p91DxI5bHmh</t>
  </si>
  <si>
    <t xml:space="preserve">No retira pestaña en roseta, sin dificultad Conector </t>
  </si>
  <si>
    <t>1-3NRRATPK</t>
  </si>
  <si>
    <t>Cuadro verde 150 edif 1 dpto 83, Estacion Central</t>
  </si>
  <si>
    <t>Jaime Carrillo</t>
  </si>
  <si>
    <t>https://drive.google.com/open?id=1H08P5rlpRN_laQ_a1DAfCZydYE8kle1J</t>
  </si>
  <si>
    <t>https://drive.google.com/open?id=14uxy8hUORxfoeCTanmU6qVyMCVQR5mFg</t>
  </si>
  <si>
    <t>https://drive.google.com/open?id=1QUbHfHIInppcuY4avzGQ8BoX81fsrszR</t>
  </si>
  <si>
    <t>https://drive.google.com/open?id=1V9PMOnlqYqfCZoTXIqI4Jj4cEQqAC2Gi</t>
  </si>
  <si>
    <t>No retira pestaña en roseta</t>
  </si>
  <si>
    <t xml:space="preserve">1-3NRWT22T </t>
  </si>
  <si>
    <t xml:space="preserve">Mundo Nuevo 4405, Quinta Normal </t>
  </si>
  <si>
    <t>Andrea Muñoz</t>
  </si>
  <si>
    <t>https://drive.google.com/open?id=1HuvvMuctR9m1VrvdLiRxt2OQIB1-g_Iv</t>
  </si>
  <si>
    <t>https://drive.google.com/open?id=1PVSZSZf1DgoMJ-OqDtUMa_7eL8vMTWsJ</t>
  </si>
  <si>
    <t>https://drive.google.com/open?id=1iBf4CyIyl_Kn6bd5FQcqxIVLAlexu6wI</t>
  </si>
  <si>
    <t>https://drive.google.com/open?id=1bkLvpgjZFHF_EH3JYOlqWL_viViW592z</t>
  </si>
  <si>
    <t xml:space="preserve">Instalación de roseta fuera de norma a petición de cliente, técnico ocupa herramientas one click según procedimiento </t>
  </si>
  <si>
    <t>1-3NSYNSJO</t>
  </si>
  <si>
    <t xml:space="preserve">Profesor fuentes maturana 5550, Quinta Normal </t>
  </si>
  <si>
    <t>Victor Poblete</t>
  </si>
  <si>
    <t>https://drive.google.com/open?id=1A1HdoZV4K2-AV-NhQvzQZXyfq2e4TI7J</t>
  </si>
  <si>
    <t>https://drive.google.com/open?id=1PTIDd-AS6cynot9xfLospy-xuV3Vkr1A</t>
  </si>
  <si>
    <t>https://drive.google.com/open?id=1OVqFnS5KM8dMxyy7T1aZEPfk1W1x8s1F</t>
  </si>
  <si>
    <t>https://drive.google.com/open?id=1vKkd3BF0vSLMJrZVAjhV9LScvzP4jr0M</t>
  </si>
  <si>
    <t>Se conversa sobre indicador de calidad para su mejora</t>
  </si>
  <si>
    <t xml:space="preserve"> 1-3NUIL83A</t>
  </si>
  <si>
    <t>Lafayette 2017, Recoleta</t>
  </si>
  <si>
    <t>Fabian Carvajal</t>
  </si>
  <si>
    <t>https://drive.google.com/open?id=19WrR74n1etaBVMen-DyGV33OgXSmaz8L</t>
  </si>
  <si>
    <t>https://drive.google.com/open?id=1KYFrVw1pL_0Q5oqO_iS8O72xbLCBhlDg</t>
  </si>
  <si>
    <t>https://drive.google.com/open?id=1E-Gbl11mMALafzRVGS9zWvYHrsIvefWr</t>
  </si>
  <si>
    <t>https://drive.google.com/open?id=1ifBXJXqm2X_xYoaodxi7OSxX1hht8G-z</t>
  </si>
  <si>
    <t>Instalación correcta, uso de cable utp para extensor, niveles de decodificador en norma, REALIZA RETIRO DE PESTAÑA EN ROSETA</t>
  </si>
  <si>
    <t>1-3NUF59Z9</t>
  </si>
  <si>
    <t>EL ROBLE 939 EDIF. B3 DEPTO 201, Recoleta</t>
  </si>
  <si>
    <t>Carlos Huircapan</t>
  </si>
  <si>
    <t>https://drive.google.com/open?id=199_vOyW5iFDWSkctyOAkdwUa0RLZsyBc</t>
  </si>
  <si>
    <t>https://drive.google.com/open?id=1JzVJLMeQukMDW8y-h87SfivUGemI6kwr</t>
  </si>
  <si>
    <t>https://drive.google.com/open?id=1KHZKWNghcu8s60NHE0Cd7WS8HLqck28B</t>
  </si>
  <si>
    <t>https://drive.google.com/open?id=1_k81iD8sO1N3-jqZHJHpo_yONU6UPC_b</t>
  </si>
  <si>
    <t>1-3NWP0QWL</t>
  </si>
  <si>
    <t xml:space="preserve">Radal 1498 casa 18, Quinta Normal </t>
  </si>
  <si>
    <t>https://drive.google.com/open?id=18UqvbkY3KeodgQJgaRGa92vrL3i_O1pb</t>
  </si>
  <si>
    <t>https://drive.google.com/open?id=1HyRdfZAs5_cmlSTaVTCGJS2e-A3Si_-a</t>
  </si>
  <si>
    <t>https://drive.google.com/open?id=1pSmPYRJRf0QplqEC0KyyTvvIYPYhPtOJ</t>
  </si>
  <si>
    <t xml:space="preserve">Se instala extensor sin cable utp a petición de cliente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</si>
</sst>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50" headerRowDxfId="34">
  <autoFilter ref="A1:AJ50" xr:uid="{00000000-000C-0000-FFFF-FFFF00000000}"/>
  <tableColumns count="36">
    <tableColumn id="1" xr3:uid="{00000000-0010-0000-0000-000001000000}" name="Marca temporal" dataDxfId="26"/>
    <tableColumn id="2" xr3:uid="{00000000-0010-0000-0000-000002000000}" name="Puntuación" dataDxfId="25"/>
    <tableColumn id="3" xr3:uid="{00000000-0010-0000-0000-000003000000}" name="N° PETICIÓN " dataDxfId="24"/>
    <tableColumn id="4" xr3:uid="{00000000-0010-0000-0000-000004000000}" name="Nombre Técnico" dataDxfId="23"/>
    <tableColumn id="5" xr3:uid="{00000000-0010-0000-0000-000005000000}" name="SUPERVISOR" dataDxfId="22"/>
    <tableColumn id="6" xr3:uid="{00000000-0010-0000-0000-000006000000}" name="Se ejecuto la actividad" dataDxfId="21"/>
    <tableColumn id="7" xr3:uid="{00000000-0010-0000-0000-000007000000}" name="Se concreta auditoria?" dataDxfId="20"/>
    <tableColumn id="8" xr3:uid="{00000000-0010-0000-0000-000008000000}" name="Motivo de la derivación" dataDxfId="33"/>
    <tableColumn id="9" xr3:uid="{00000000-0010-0000-0000-000009000000}" name="Auditoria" dataDxfId="19"/>
    <tableColumn id="10" xr3:uid="{00000000-0010-0000-0000-00000A000000}" name="Actividad" dataDxfId="18"/>
    <tableColumn id="11" xr3:uid="{00000000-0010-0000-0000-00000B000000}" name="Instala drop con soportes" dataDxfId="17"/>
    <tableColumn id="12" xr3:uid="{00000000-0010-0000-0000-00000C000000}" name="DIRECCIÓN (Calle - Numero) " dataDxfId="16"/>
    <tableColumn id="13" xr3:uid="{00000000-0010-0000-0000-00000D000000}" name="Instala Pasa-muros " dataDxfId="32"/>
    <tableColumn id="14" xr3:uid="{00000000-0010-0000-0000-00000E000000}" name="Roseta Óptica en norma y atornillada " dataDxfId="15"/>
    <tableColumn id="15" xr3:uid="{00000000-0010-0000-0000-00000F000000}" name="Repetidor Cableado" dataDxfId="31"/>
    <tableColumn id="16" xr3:uid="{00000000-0010-0000-0000-000010000000}" name="Cantidad Decodificadores" dataDxfId="30"/>
    <tableColumn id="17" xr3:uid="{00000000-0010-0000-0000-000011000000}" name="Capacitación  al Cliente" dataDxfId="14"/>
    <tableColumn id="18" xr3:uid="{00000000-0010-0000-0000-000012000000}" name="Deja Área de Trabajo Limpio " dataDxfId="13"/>
    <tableColumn id="19" xr3:uid="{00000000-0010-0000-0000-000013000000}" name="Quien recibe en domicilio" dataDxfId="12"/>
    <tableColumn id="20" xr3:uid="{00000000-0010-0000-0000-000014000000}" name="Nota de Estética del cableado " dataDxfId="11"/>
    <tableColumn id="21" xr3:uid="{00000000-0010-0000-0000-000015000000}" name="Fotografía  Módem" dataDxfId="10"/>
    <tableColumn id="22" xr3:uid="{00000000-0010-0000-0000-000016000000}" name="Fotografía Roseta  Óptica Atornillada " dataDxfId="9"/>
    <tableColumn id="23" xr3:uid="{00000000-0010-0000-0000-000017000000}" name="Fotografías Pasa-muros " dataDxfId="8"/>
    <tableColumn id="24" xr3:uid="{00000000-0010-0000-0000-000018000000}" name="Fotografías" dataDxfId="7"/>
    <tableColumn id="25" xr3:uid="{00000000-0010-0000-0000-000019000000}" name="Estado Auditoria " dataDxfId="6"/>
    <tableColumn id="26" xr3:uid="{00000000-0010-0000-0000-00001A000000}" name="Técnico cumple correctamente con su función?  " dataDxfId="5"/>
    <tableColumn id="27" xr3:uid="{00000000-0010-0000-0000-00001B000000}" name="Con que nota se evalúa al técnico " dataDxfId="4"/>
    <tableColumn id="28" xr3:uid="{00000000-0010-0000-0000-00001C000000}" name="Observaciones (detallar observaciones)" dataDxfId="3"/>
    <tableColumn id="33" xr3:uid="{6654FF87-3155-4898-9A65-816C7D124028}" name="Utiliza OneClick para realizar limpieza a conectores " dataDxfId="29"/>
    <tableColumn id="36" xr3:uid="{2662FBBF-EEE5-4E82-98C0-8584BF84424E}" name="Drop se encuentra encuentra dentro de norma de instalaciones " dataDxfId="2"/>
    <tableColumn id="35" xr3:uid="{CF2913D1-167E-463D-9DEB-ADD1D59E4B8D}" name="Reutiliza Instalación " dataDxfId="1"/>
    <tableColumn id="34" xr3:uid="{1C1000A3-E2F8-4E7C-A510-442774329E98}" name="Utiliza Alcohol isopropilico " dataDxfId="28"/>
    <tableColumn id="32" xr3:uid="{54579B12-B98C-417C-A72D-BAB0E503080E}" name="Reutiliza Instalación de otra compañía " dataDxfId="0"/>
    <tableColumn id="29" xr3:uid="{B3B22204-0EB9-42F6-9D1A-876CFB34A91A}" name="Se llevó a cabo la mesa de trabajo." dataDxfId="27"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59" Type="http://schemas.openxmlformats.org/officeDocument/2006/relationships/hyperlink" Target="https://drive.google.com/open?id=1HuvvMuctR9m1VrvdLiRxt2OQIB1-g_Iv" TargetMode="External"/><Relationship Id="rId170" Type="http://schemas.openxmlformats.org/officeDocument/2006/relationships/hyperlink" Target="https://drive.google.com/open?id=1ifBXJXqm2X_xYoaodxi7OSxX1hht8G-z"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160" Type="http://schemas.openxmlformats.org/officeDocument/2006/relationships/hyperlink" Target="https://drive.google.com/open?id=1PVSZSZf1DgoMJ-OqDtUMa_7eL8vMTWsJ" TargetMode="External"/><Relationship Id="rId22" Type="http://schemas.openxmlformats.org/officeDocument/2006/relationships/hyperlink" Target="https://drive.google.com/open?id=1WwnXsHKOqdcxhVKy7K78PfZqcdpIXWPD" TargetMode="External"/><Relationship Id="rId43" Type="http://schemas.openxmlformats.org/officeDocument/2006/relationships/hyperlink" Target="https://drive.google.com/open?id=1Q8vNcuhdAz4joWsuGjDNyWvbEU-wJasi" TargetMode="External"/><Relationship Id="rId64" Type="http://schemas.openxmlformats.org/officeDocument/2006/relationships/hyperlink" Target="https://drive.google.com/open?id=1TzdMGzyYx5WTozjYRFT2uT4JAqQdxQS9" TargetMode="External"/><Relationship Id="rId118" Type="http://schemas.openxmlformats.org/officeDocument/2006/relationships/hyperlink" Target="https://drive.google.com/open?id=1_dnXHFhbI_rHIPquJovLBhU46yIrAZ3n" TargetMode="External"/><Relationship Id="rId139" Type="http://schemas.openxmlformats.org/officeDocument/2006/relationships/hyperlink" Target="https://drive.google.com/open?id=14swrKT8z_gymQwhT5IhdH-mVs0pplGko"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71" Type="http://schemas.openxmlformats.org/officeDocument/2006/relationships/hyperlink" Target="https://drive.google.com/open?id=199_vOyW5iFDWSkctyOAkdwUa0RLZsyBc" TargetMode="External"/><Relationship Id="rId12" Type="http://schemas.openxmlformats.org/officeDocument/2006/relationships/hyperlink" Target="https://drive.google.com/open?id=1HftL8nuwMbjUi_N_uPN54iieHc1SNhZ7" TargetMode="External"/><Relationship Id="rId33" Type="http://schemas.openxmlformats.org/officeDocument/2006/relationships/hyperlink" Target="https://drive.google.com/open?id=1OP1hPRSdOrAR3cXLiyxw1o2ogy31xmuT" TargetMode="External"/><Relationship Id="rId108" Type="http://schemas.openxmlformats.org/officeDocument/2006/relationships/hyperlink" Target="https://drive.google.com/open?id=1qQa-IfAV_dLOsGZNC17MNWWzKIc7SkUQ"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5" Type="http://schemas.openxmlformats.org/officeDocument/2006/relationships/hyperlink" Target="https://drive.google.com/open?id=1ib28GsSsZ6_D2UPnN34V44_vE4lMsjT1"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61" Type="http://schemas.openxmlformats.org/officeDocument/2006/relationships/hyperlink" Target="https://drive.google.com/open?id=1iBf4CyIyl_Kn6bd5FQcqxIVLAlexu6wI"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51" Type="http://schemas.openxmlformats.org/officeDocument/2006/relationships/hyperlink" Target="https://drive.google.com/open?id=1FPvFPDgEnnypJWf0VXmV29yOAdaRKUZR" TargetMode="External"/><Relationship Id="rId156" Type="http://schemas.openxmlformats.org/officeDocument/2006/relationships/hyperlink" Target="https://drive.google.com/open?id=14uxy8hUORxfoeCTanmU6qVyMCVQR5mFg" TargetMode="External"/><Relationship Id="rId177" Type="http://schemas.openxmlformats.org/officeDocument/2006/relationships/hyperlink" Target="https://drive.google.com/open?id=1pSmPYRJRf0QplqEC0KyyTvvIYPYhPtOJ" TargetMode="External"/><Relationship Id="rId172" Type="http://schemas.openxmlformats.org/officeDocument/2006/relationships/hyperlink" Target="https://drive.google.com/open?id=1JzVJLMeQukMDW8y-h87SfivUGemI6kwr"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167" Type="http://schemas.openxmlformats.org/officeDocument/2006/relationships/hyperlink" Target="https://drive.google.com/open?id=19WrR74n1etaBVMen-DyGV33OgXSmaz8L"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162" Type="http://schemas.openxmlformats.org/officeDocument/2006/relationships/hyperlink" Target="https://drive.google.com/open?id=1bkLvpgjZFHF_EH3JYOlqWL_viViW592z"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157" Type="http://schemas.openxmlformats.org/officeDocument/2006/relationships/hyperlink" Target="https://drive.google.com/open?id=1QUbHfHIInppcuY4avzGQ8BoX81fsrszR" TargetMode="External"/><Relationship Id="rId178" Type="http://schemas.openxmlformats.org/officeDocument/2006/relationships/table" Target="../tables/table1.xm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52" Type="http://schemas.openxmlformats.org/officeDocument/2006/relationships/hyperlink" Target="https://drive.google.com/open?id=1otNSCl6WVib1dsbC8I8_nAyXRJ9qrRVm" TargetMode="External"/><Relationship Id="rId173" Type="http://schemas.openxmlformats.org/officeDocument/2006/relationships/hyperlink" Target="https://drive.google.com/open?id=1KHZKWNghcu8s60NHE0Cd7WS8HLqck28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168" Type="http://schemas.openxmlformats.org/officeDocument/2006/relationships/hyperlink" Target="https://drive.google.com/open?id=1KYFrVw1pL_0Q5oqO_iS8O72xbLCBhlDg"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163" Type="http://schemas.openxmlformats.org/officeDocument/2006/relationships/hyperlink" Target="https://drive.google.com/open?id=1A1HdoZV4K2-AV-NhQvzQZXyfq2e4TI7J"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158" Type="http://schemas.openxmlformats.org/officeDocument/2006/relationships/hyperlink" Target="https://drive.google.com/open?id=1V9PMOnlqYqfCZoTXIqI4Jj4cEQqAC2Gi"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3" Type="http://schemas.openxmlformats.org/officeDocument/2006/relationships/hyperlink" Target="https://drive.google.com/open?id=10tliLsuE2PB_Jc-GAEJOLCkIX_U0HfhN" TargetMode="External"/><Relationship Id="rId174" Type="http://schemas.openxmlformats.org/officeDocument/2006/relationships/hyperlink" Target="https://drive.google.com/open?id=1_k81iD8sO1N3-jqZHJHpo_yONU6UPC_b"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164" Type="http://schemas.openxmlformats.org/officeDocument/2006/relationships/hyperlink" Target="https://drive.google.com/open?id=1PTIDd-AS6cynot9xfLospy-xuV3Vkr1A" TargetMode="External"/><Relationship Id="rId169" Type="http://schemas.openxmlformats.org/officeDocument/2006/relationships/hyperlink" Target="https://drive.google.com/open?id=1E-Gbl11mMALafzRVGS9zWvYHrsIvefWr"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54" Type="http://schemas.openxmlformats.org/officeDocument/2006/relationships/hyperlink" Target="https://drive.google.com/open?id=1Qp5ezsgZAQ38PrHjL_3U5p91DxI5bHmh" TargetMode="External"/><Relationship Id="rId175" Type="http://schemas.openxmlformats.org/officeDocument/2006/relationships/hyperlink" Target="https://drive.google.com/open?id=18UqvbkY3KeodgQJgaRGa92vrL3i_O1pb" TargetMode="Externa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 Id="rId165" Type="http://schemas.openxmlformats.org/officeDocument/2006/relationships/hyperlink" Target="https://drive.google.com/open?id=1OVqFnS5KM8dMxyy7T1aZEPfk1W1x8s1F" TargetMode="External"/><Relationship Id="rId27" Type="http://schemas.openxmlformats.org/officeDocument/2006/relationships/hyperlink" Target="https://drive.google.com/open?id=1bm95wbg0W4QfOhTQ-l3iSNpuXZbayYdA" TargetMode="External"/><Relationship Id="rId48" Type="http://schemas.openxmlformats.org/officeDocument/2006/relationships/hyperlink" Target="https://drive.google.com/open?id=1vu-Eev9UKvXcT1YJ8o4Tt9Y-UNmKsclY"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34" Type="http://schemas.openxmlformats.org/officeDocument/2006/relationships/hyperlink" Target="https://drive.google.com/open?id=1MwSEkrsBBQvBBAIH6sUjmiE0-F2pEfCp" TargetMode="External"/><Relationship Id="rId80" Type="http://schemas.openxmlformats.org/officeDocument/2006/relationships/hyperlink" Target="https://drive.google.com/open?id=1Y8Cfh87znZW3suakDsP6fLxmlQ9Phsz-" TargetMode="External"/><Relationship Id="rId155" Type="http://schemas.openxmlformats.org/officeDocument/2006/relationships/hyperlink" Target="https://drive.google.com/open?id=1H08P5rlpRN_laQ_a1DAfCZydYE8kle1J" TargetMode="External"/><Relationship Id="rId176" Type="http://schemas.openxmlformats.org/officeDocument/2006/relationships/hyperlink" Target="https://drive.google.com/open?id=1HyRdfZAs5_cmlSTaVTCGJS2e-A3Si_-a" TargetMode="External"/><Relationship Id="rId17" Type="http://schemas.openxmlformats.org/officeDocument/2006/relationships/hyperlink" Target="https://drive.google.com/open?id=1FMSZOl4jm7NCv0YV2I76OTv48kR4YjC0"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24" Type="http://schemas.openxmlformats.org/officeDocument/2006/relationships/hyperlink" Target="https://drive.google.com/open?id=16tLU2tsRGSZYpel88kvrTizbREZsrQ7x" TargetMode="External"/><Relationship Id="rId70" Type="http://schemas.openxmlformats.org/officeDocument/2006/relationships/hyperlink" Target="https://drive.google.com/open?id=1CN6XrDQMMT9mjrjBPVLl49l3NvnzY1BA" TargetMode="External"/><Relationship Id="rId91" Type="http://schemas.openxmlformats.org/officeDocument/2006/relationships/hyperlink" Target="https://drive.google.com/open?id=1lggRjpO-1vj3C15DfSKMfH4QeuUpD_tr" TargetMode="External"/><Relationship Id="rId145" Type="http://schemas.openxmlformats.org/officeDocument/2006/relationships/hyperlink" Target="https://drive.google.com/open?id=1Wskr8uc0GZARG5xMSg7mC1mqiEcPBwIx" TargetMode="External"/><Relationship Id="rId166" Type="http://schemas.openxmlformats.org/officeDocument/2006/relationships/hyperlink" Target="https://drive.google.com/open?id=1vKkd3BF0vSLMJrZVAjhV9LScvzP4jr0M" TargetMode="External"/><Relationship Id="rId1" Type="http://schemas.openxmlformats.org/officeDocument/2006/relationships/hyperlink" Target="https://drive.google.com/open?id=1eLiAAX-JitqlZ_Uy1Wtqd-BaYuer__s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50"/>
  <sheetViews>
    <sheetView tabSelected="1" workbookViewId="0">
      <pane ySplit="1" topLeftCell="A19" activePane="bottomLeft" state="frozen"/>
      <selection pane="bottomLeft" sqref="A1:AG50"/>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row r="44" spans="1:36" ht="15.75" customHeight="1" x14ac:dyDescent="0.25">
      <c r="A44" s="1">
        <v>46275.333339247685</v>
      </c>
      <c r="B44" s="10">
        <v>8</v>
      </c>
      <c r="C44" s="3" t="s">
        <v>385</v>
      </c>
      <c r="D44" s="3" t="s">
        <v>63</v>
      </c>
      <c r="E44" s="3" t="s">
        <v>53</v>
      </c>
      <c r="F44" s="3" t="s">
        <v>18</v>
      </c>
      <c r="G44" s="3" t="s">
        <v>18</v>
      </c>
      <c r="I44" s="3" t="s">
        <v>128</v>
      </c>
      <c r="J44" s="3" t="s">
        <v>65</v>
      </c>
      <c r="K44" s="3" t="s">
        <v>23</v>
      </c>
      <c r="L44" s="3" t="s">
        <v>386</v>
      </c>
      <c r="M44" s="3" t="s">
        <v>23</v>
      </c>
      <c r="N44" s="3" t="s">
        <v>23</v>
      </c>
      <c r="Q44" s="3" t="s">
        <v>23</v>
      </c>
      <c r="R44" s="3" t="s">
        <v>23</v>
      </c>
      <c r="S44" s="3" t="s">
        <v>387</v>
      </c>
      <c r="T44" s="3">
        <v>4</v>
      </c>
      <c r="U44" s="4" t="s">
        <v>388</v>
      </c>
      <c r="V44" s="4" t="s">
        <v>389</v>
      </c>
      <c r="W44" s="4" t="s">
        <v>390</v>
      </c>
      <c r="X44" s="4" t="s">
        <v>391</v>
      </c>
      <c r="Y44" s="3" t="s">
        <v>30</v>
      </c>
      <c r="Z44" s="3" t="s">
        <v>30</v>
      </c>
      <c r="AA44" s="3">
        <v>9</v>
      </c>
      <c r="AB44" s="3" t="s">
        <v>392</v>
      </c>
      <c r="AD44" s="3" t="s">
        <v>23</v>
      </c>
      <c r="AE44" s="3" t="s">
        <v>21</v>
      </c>
      <c r="AG44" s="3" t="s">
        <v>21</v>
      </c>
      <c r="AH44" s="15" t="str">
        <f>IFERROR(VLOOKUP(Form_Responses[[#This Row],[Nombre Técnico]],'masa de trabajo'!$B:$C,2,0),"")</f>
        <v>SI</v>
      </c>
      <c r="AI44" s="12" t="str">
        <f>VLOOKUP(Form_Responses[[#This Row],[Nombre Técnico]],'masa de trabajo'!$B:$E,3,0)</f>
        <v>SI</v>
      </c>
      <c r="AJ44" s="12" t="str">
        <f>VLOOKUP(Form_Responses[[#This Row],[Nombre Técnico]],'masa de trabajo'!$B:$E,4,0)</f>
        <v>-</v>
      </c>
    </row>
    <row r="45" spans="1:36" ht="15.75" customHeight="1" x14ac:dyDescent="0.25">
      <c r="A45" s="1">
        <v>46275.584452997689</v>
      </c>
      <c r="B45" s="10">
        <v>6</v>
      </c>
      <c r="C45" s="3" t="s">
        <v>393</v>
      </c>
      <c r="D45" s="3" t="s">
        <v>52</v>
      </c>
      <c r="E45" s="3" t="s">
        <v>53</v>
      </c>
      <c r="F45" s="3" t="s">
        <v>18</v>
      </c>
      <c r="G45" s="3" t="s">
        <v>18</v>
      </c>
      <c r="I45" s="3" t="s">
        <v>128</v>
      </c>
      <c r="J45" s="3" t="s">
        <v>20</v>
      </c>
      <c r="L45" s="3" t="s">
        <v>394</v>
      </c>
      <c r="N45" s="3" t="s">
        <v>23</v>
      </c>
      <c r="Q45" s="3" t="s">
        <v>23</v>
      </c>
      <c r="R45" s="3" t="s">
        <v>23</v>
      </c>
      <c r="S45" s="3" t="s">
        <v>395</v>
      </c>
      <c r="T45" s="3">
        <v>4</v>
      </c>
      <c r="U45" s="4" t="s">
        <v>396</v>
      </c>
      <c r="V45" s="4" t="s">
        <v>397</v>
      </c>
      <c r="W45" s="4" t="s">
        <v>398</v>
      </c>
      <c r="X45" s="4" t="s">
        <v>399</v>
      </c>
      <c r="Y45" s="3" t="s">
        <v>30</v>
      </c>
      <c r="Z45" s="3" t="s">
        <v>30</v>
      </c>
      <c r="AA45" s="3">
        <v>9</v>
      </c>
      <c r="AB45" s="3" t="s">
        <v>400</v>
      </c>
      <c r="AD45" s="3" t="s">
        <v>23</v>
      </c>
      <c r="AE45" s="3" t="s">
        <v>21</v>
      </c>
      <c r="AG45" s="3" t="s">
        <v>21</v>
      </c>
      <c r="AH45" s="15" t="str">
        <f>IFERROR(VLOOKUP(Form_Responses[[#This Row],[Nombre Técnico]],'masa de trabajo'!$B:$C,2,0),"")</f>
        <v>SI</v>
      </c>
      <c r="AI45" s="12" t="str">
        <f>VLOOKUP(Form_Responses[[#This Row],[Nombre Técnico]],'masa de trabajo'!$B:$E,3,0)</f>
        <v>-</v>
      </c>
      <c r="AJ45" s="12" t="str">
        <f>VLOOKUP(Form_Responses[[#This Row],[Nombre Técnico]],'masa de trabajo'!$B:$E,4,0)</f>
        <v>-</v>
      </c>
    </row>
    <row r="46" spans="1:36" ht="15.75" customHeight="1" x14ac:dyDescent="0.25">
      <c r="A46" s="1">
        <v>46275.784461053241</v>
      </c>
      <c r="B46" s="10">
        <v>9</v>
      </c>
      <c r="C46" s="3" t="s">
        <v>401</v>
      </c>
      <c r="D46" s="3" t="s">
        <v>84</v>
      </c>
      <c r="E46" s="3" t="s">
        <v>53</v>
      </c>
      <c r="F46" s="3" t="s">
        <v>18</v>
      </c>
      <c r="G46" s="3" t="s">
        <v>18</v>
      </c>
      <c r="I46" s="3" t="s">
        <v>19</v>
      </c>
      <c r="J46" s="3" t="s">
        <v>41</v>
      </c>
      <c r="K46" s="3" t="s">
        <v>23</v>
      </c>
      <c r="L46" s="3" t="s">
        <v>402</v>
      </c>
      <c r="M46" s="3" t="s">
        <v>23</v>
      </c>
      <c r="N46" s="3" t="s">
        <v>21</v>
      </c>
      <c r="Q46" s="3" t="s">
        <v>23</v>
      </c>
      <c r="R46" s="3" t="s">
        <v>23</v>
      </c>
      <c r="S46" s="3" t="s">
        <v>403</v>
      </c>
      <c r="T46" s="3">
        <v>4</v>
      </c>
      <c r="U46" s="4" t="s">
        <v>404</v>
      </c>
      <c r="V46" s="4" t="s">
        <v>405</v>
      </c>
      <c r="W46" s="4" t="s">
        <v>406</v>
      </c>
      <c r="X46" s="4" t="s">
        <v>407</v>
      </c>
      <c r="Y46" s="3" t="s">
        <v>30</v>
      </c>
      <c r="Z46" s="3" t="s">
        <v>30</v>
      </c>
      <c r="AA46" s="3">
        <v>9</v>
      </c>
      <c r="AB46" s="3" t="s">
        <v>408</v>
      </c>
      <c r="AC46" s="3" t="s">
        <v>23</v>
      </c>
      <c r="AD46" s="3" t="s">
        <v>23</v>
      </c>
      <c r="AE46" s="3" t="s">
        <v>21</v>
      </c>
      <c r="AF46" s="3" t="s">
        <v>23</v>
      </c>
      <c r="AG46" s="3" t="s">
        <v>21</v>
      </c>
      <c r="AH46" s="15" t="str">
        <f>IFERROR(VLOOKUP(Form_Responses[[#This Row],[Nombre Técnico]],'masa de trabajo'!$B:$C,2,0),"")</f>
        <v>SI</v>
      </c>
      <c r="AI46" s="12" t="str">
        <f>VLOOKUP(Form_Responses[[#This Row],[Nombre Técnico]],'masa de trabajo'!$B:$E,3,0)</f>
        <v>SI</v>
      </c>
      <c r="AJ46" s="12" t="str">
        <f>VLOOKUP(Form_Responses[[#This Row],[Nombre Técnico]],'masa de trabajo'!$B:$E,4,0)</f>
        <v>-</v>
      </c>
    </row>
    <row r="47" spans="1:36" ht="15.75" customHeight="1" x14ac:dyDescent="0.25">
      <c r="A47" s="1">
        <v>46279.750844733797</v>
      </c>
      <c r="B47" s="10">
        <v>8</v>
      </c>
      <c r="C47" s="3" t="s">
        <v>409</v>
      </c>
      <c r="D47" s="3" t="s">
        <v>52</v>
      </c>
      <c r="E47" s="3" t="s">
        <v>53</v>
      </c>
      <c r="F47" s="3" t="s">
        <v>18</v>
      </c>
      <c r="G47" s="3" t="s">
        <v>18</v>
      </c>
      <c r="I47" s="3" t="s">
        <v>128</v>
      </c>
      <c r="J47" s="3" t="s">
        <v>41</v>
      </c>
      <c r="K47" s="3" t="s">
        <v>23</v>
      </c>
      <c r="L47" s="3" t="s">
        <v>410</v>
      </c>
      <c r="M47" s="3" t="s">
        <v>23</v>
      </c>
      <c r="N47" s="3" t="s">
        <v>23</v>
      </c>
      <c r="P47" s="3">
        <v>1</v>
      </c>
      <c r="Q47" s="3" t="s">
        <v>23</v>
      </c>
      <c r="R47" s="3" t="s">
        <v>23</v>
      </c>
      <c r="S47" s="3" t="s">
        <v>411</v>
      </c>
      <c r="T47" s="3">
        <v>4</v>
      </c>
      <c r="U47" s="4" t="s">
        <v>412</v>
      </c>
      <c r="V47" s="4" t="s">
        <v>413</v>
      </c>
      <c r="W47" s="4" t="s">
        <v>414</v>
      </c>
      <c r="X47" s="4" t="s">
        <v>415</v>
      </c>
      <c r="Y47" s="3" t="s">
        <v>30</v>
      </c>
      <c r="Z47" s="3" t="s">
        <v>30</v>
      </c>
      <c r="AA47" s="3">
        <v>9</v>
      </c>
      <c r="AB47" s="3" t="s">
        <v>416</v>
      </c>
      <c r="AD47" s="3" t="s">
        <v>23</v>
      </c>
      <c r="AE47" s="3" t="s">
        <v>21</v>
      </c>
      <c r="AG47" s="3" t="s">
        <v>21</v>
      </c>
      <c r="AH47" s="15" t="str">
        <f>IFERROR(VLOOKUP(Form_Responses[[#This Row],[Nombre Técnico]],'masa de trabajo'!$B:$C,2,0),"")</f>
        <v>SI</v>
      </c>
      <c r="AI47" s="12" t="str">
        <f>VLOOKUP(Form_Responses[[#This Row],[Nombre Técnico]],'masa de trabajo'!$B:$E,3,0)</f>
        <v>-</v>
      </c>
      <c r="AJ47" s="12" t="str">
        <f>VLOOKUP(Form_Responses[[#This Row],[Nombre Técnico]],'masa de trabajo'!$B:$E,4,0)</f>
        <v>-</v>
      </c>
    </row>
    <row r="48" spans="1:36" ht="15.75" customHeight="1" x14ac:dyDescent="0.25">
      <c r="A48" s="1">
        <v>46280.683903900463</v>
      </c>
      <c r="B48" s="10">
        <v>7</v>
      </c>
      <c r="C48" s="3" t="s">
        <v>417</v>
      </c>
      <c r="D48" s="3" t="s">
        <v>221</v>
      </c>
      <c r="E48" s="3" t="s">
        <v>53</v>
      </c>
      <c r="F48" s="3" t="s">
        <v>18</v>
      </c>
      <c r="G48" s="3" t="s">
        <v>18</v>
      </c>
      <c r="I48" s="3" t="s">
        <v>128</v>
      </c>
      <c r="J48" s="3" t="s">
        <v>41</v>
      </c>
      <c r="K48" s="3" t="s">
        <v>23</v>
      </c>
      <c r="L48" s="3" t="s">
        <v>418</v>
      </c>
      <c r="N48" s="3" t="s">
        <v>23</v>
      </c>
      <c r="O48" s="3" t="s">
        <v>23</v>
      </c>
      <c r="P48" s="3">
        <v>1</v>
      </c>
      <c r="Q48" s="3" t="s">
        <v>23</v>
      </c>
      <c r="R48" s="3" t="s">
        <v>23</v>
      </c>
      <c r="S48" s="3" t="s">
        <v>419</v>
      </c>
      <c r="T48" s="3">
        <v>4</v>
      </c>
      <c r="U48" s="4" t="s">
        <v>420</v>
      </c>
      <c r="V48" s="4" t="s">
        <v>421</v>
      </c>
      <c r="W48" s="4" t="s">
        <v>422</v>
      </c>
      <c r="X48" s="4" t="s">
        <v>423</v>
      </c>
      <c r="Y48" s="3" t="s">
        <v>30</v>
      </c>
      <c r="Z48" s="3" t="s">
        <v>30</v>
      </c>
      <c r="AA48" s="3">
        <v>9</v>
      </c>
      <c r="AB48" s="3" t="s">
        <v>424</v>
      </c>
      <c r="AD48" s="3" t="s">
        <v>23</v>
      </c>
      <c r="AE48" s="3" t="s">
        <v>21</v>
      </c>
      <c r="AG48" s="3" t="s">
        <v>21</v>
      </c>
      <c r="AH48" s="15" t="str">
        <f>IFERROR(VLOOKUP(Form_Responses[[#This Row],[Nombre Técnico]],'masa de trabajo'!$B:$C,2,0),"")</f>
        <v>-</v>
      </c>
      <c r="AI48" s="12" t="str">
        <f>VLOOKUP(Form_Responses[[#This Row],[Nombre Técnico]],'masa de trabajo'!$B:$E,3,0)</f>
        <v>-</v>
      </c>
      <c r="AJ48" s="12" t="str">
        <f>VLOOKUP(Form_Responses[[#This Row],[Nombre Técnico]],'masa de trabajo'!$B:$E,4,0)</f>
        <v>-</v>
      </c>
    </row>
    <row r="49" spans="1:36" ht="15.75" customHeight="1" x14ac:dyDescent="0.25">
      <c r="A49" s="1">
        <v>46281.319375243052</v>
      </c>
      <c r="B49" s="10">
        <v>7</v>
      </c>
      <c r="C49" s="3" t="s">
        <v>425</v>
      </c>
      <c r="D49" s="3" t="s">
        <v>143</v>
      </c>
      <c r="E49" s="3" t="s">
        <v>53</v>
      </c>
      <c r="F49" s="3" t="s">
        <v>18</v>
      </c>
      <c r="G49" s="3" t="s">
        <v>18</v>
      </c>
      <c r="I49" s="3" t="s">
        <v>19</v>
      </c>
      <c r="J49" s="3" t="s">
        <v>41</v>
      </c>
      <c r="L49" s="3" t="s">
        <v>426</v>
      </c>
      <c r="N49" s="3" t="s">
        <v>23</v>
      </c>
      <c r="Q49" s="3" t="s">
        <v>23</v>
      </c>
      <c r="R49" s="3" t="s">
        <v>23</v>
      </c>
      <c r="S49" s="3" t="s">
        <v>427</v>
      </c>
      <c r="T49" s="3">
        <v>4</v>
      </c>
      <c r="U49" s="4" t="s">
        <v>428</v>
      </c>
      <c r="V49" s="4" t="s">
        <v>429</v>
      </c>
      <c r="W49" s="4" t="s">
        <v>430</v>
      </c>
      <c r="X49" s="4" t="s">
        <v>431</v>
      </c>
      <c r="Y49" s="3" t="s">
        <v>30</v>
      </c>
      <c r="Z49" s="3" t="s">
        <v>30</v>
      </c>
      <c r="AA49" s="3">
        <v>9</v>
      </c>
      <c r="AB49" s="3" t="s">
        <v>384</v>
      </c>
      <c r="AC49" s="3" t="s">
        <v>77</v>
      </c>
      <c r="AD49" s="3" t="s">
        <v>23</v>
      </c>
      <c r="AE49" s="3" t="s">
        <v>21</v>
      </c>
      <c r="AF49" s="3" t="s">
        <v>23</v>
      </c>
      <c r="AG49" s="3" t="s">
        <v>21</v>
      </c>
      <c r="AH49" s="15" t="str">
        <f>IFERROR(VLOOKUP(Form_Responses[[#This Row],[Nombre Técnico]],'masa de trabajo'!$B:$C,2,0),"")</f>
        <v>-</v>
      </c>
      <c r="AI49" s="12" t="str">
        <f>VLOOKUP(Form_Responses[[#This Row],[Nombre Técnico]],'masa de trabajo'!$B:$E,3,0)</f>
        <v>-</v>
      </c>
      <c r="AJ49" s="12" t="str">
        <f>VLOOKUP(Form_Responses[[#This Row],[Nombre Técnico]],'masa de trabajo'!$B:$E,4,0)</f>
        <v>-</v>
      </c>
    </row>
    <row r="50" spans="1:36" ht="15.75" customHeight="1" x14ac:dyDescent="0.25">
      <c r="A50" s="1">
        <v>46287.316370625005</v>
      </c>
      <c r="B50" s="10">
        <v>9</v>
      </c>
      <c r="C50" s="3" t="s">
        <v>432</v>
      </c>
      <c r="D50" s="3" t="s">
        <v>52</v>
      </c>
      <c r="E50" s="3" t="s">
        <v>53</v>
      </c>
      <c r="F50" s="3" t="s">
        <v>18</v>
      </c>
      <c r="G50" s="3" t="s">
        <v>18</v>
      </c>
      <c r="I50" s="3" t="s">
        <v>19</v>
      </c>
      <c r="J50" s="3" t="s">
        <v>20</v>
      </c>
      <c r="K50" s="3" t="s">
        <v>23</v>
      </c>
      <c r="L50" s="3" t="s">
        <v>433</v>
      </c>
      <c r="N50" s="3" t="s">
        <v>23</v>
      </c>
      <c r="O50" s="3" t="s">
        <v>21</v>
      </c>
      <c r="P50" s="3">
        <v>2</v>
      </c>
      <c r="Q50" s="3" t="s">
        <v>23</v>
      </c>
      <c r="R50" s="3" t="s">
        <v>23</v>
      </c>
      <c r="T50" s="3">
        <v>4</v>
      </c>
      <c r="U50" s="4" t="s">
        <v>434</v>
      </c>
      <c r="V50" s="4" t="s">
        <v>435</v>
      </c>
      <c r="X50" s="4" t="s">
        <v>436</v>
      </c>
      <c r="Y50" s="3" t="s">
        <v>30</v>
      </c>
      <c r="Z50" s="3" t="s">
        <v>30</v>
      </c>
      <c r="AA50" s="3">
        <v>9</v>
      </c>
      <c r="AB50" s="3" t="s">
        <v>437</v>
      </c>
      <c r="AC50" s="3" t="s">
        <v>23</v>
      </c>
      <c r="AD50" s="3" t="s">
        <v>23</v>
      </c>
      <c r="AE50" s="3" t="s">
        <v>21</v>
      </c>
      <c r="AF50" s="3" t="s">
        <v>23</v>
      </c>
      <c r="AG50" s="3" t="s">
        <v>21</v>
      </c>
      <c r="AH50" s="15" t="str">
        <f>IFERROR(VLOOKUP(Form_Responses[[#This Row],[Nombre Técnico]],'masa de trabajo'!$B:$C,2,0),"")</f>
        <v>SI</v>
      </c>
      <c r="AI50" s="12" t="str">
        <f>VLOOKUP(Form_Responses[[#This Row],[Nombre Técnico]],'masa de trabajo'!$B:$E,3,0)</f>
        <v>-</v>
      </c>
      <c r="AJ50" s="12" t="str">
        <f>VLOOKUP(Form_Responses[[#This Row],[Nombre Técnico]],'masa de trabajo'!$B:$E,4,0)</f>
        <v>-</v>
      </c>
    </row>
  </sheetData>
  <phoneticPr fontId="5" type="noConversion"/>
  <hyperlinks>
    <hyperlink ref="U2" r:id="rId1" xr:uid="{60280969-4C05-45B8-8DAC-792C20A21FF1}"/>
    <hyperlink ref="V2" r:id="rId2" xr:uid="{C49349F3-FB06-40A9-9FEE-C1518F81CB44}"/>
    <hyperlink ref="W2" r:id="rId3" xr:uid="{1072A1AF-87D4-458F-9F43-211BADDC5643}"/>
    <hyperlink ref="X2" r:id="rId4" xr:uid="{A59D2BDC-7FF5-481E-8ABA-A1B4922DC61E}"/>
    <hyperlink ref="U3" r:id="rId5" xr:uid="{597F033F-C858-4D95-B7F0-09FC23ECA8F2}"/>
    <hyperlink ref="V3" r:id="rId6" xr:uid="{54A7FB09-9E5B-4566-8FC2-CACA3E74DDBA}"/>
    <hyperlink ref="X3" r:id="rId7" xr:uid="{7BDE6B6B-7860-4AEB-AC6D-3A4F034CEDCF}"/>
    <hyperlink ref="U4" r:id="rId8" xr:uid="{A4F98DA6-6AFD-44A8-8B14-B063D1FEC609}"/>
    <hyperlink ref="V4" r:id="rId9" xr:uid="{B56314BF-034B-4613-894A-386434CACD9E}"/>
    <hyperlink ref="X4" r:id="rId10" xr:uid="{347287C9-BC9E-4007-ADCD-C89705F3585D}"/>
    <hyperlink ref="U5" r:id="rId11" xr:uid="{6EC4B715-B8FB-45E6-BBBD-E035BE8F6BA1}"/>
    <hyperlink ref="V5" r:id="rId12" xr:uid="{7055F46D-B028-45D6-9D91-142AB688DD93}"/>
    <hyperlink ref="W5" r:id="rId13" xr:uid="{950FAE59-9C69-4A89-9F26-5CD1949C5291}"/>
    <hyperlink ref="X5" r:id="rId14" xr:uid="{6D323449-C8EE-4C7F-A9D9-2B21660887D3}"/>
    <hyperlink ref="U6" r:id="rId15" xr:uid="{A264C511-78A6-43C1-A383-1932C98F9453}"/>
    <hyperlink ref="V6" r:id="rId16" xr:uid="{F8BF22A5-5347-4F53-A784-AB48EE5634ED}"/>
    <hyperlink ref="W6" r:id="rId17" xr:uid="{49FC44D3-61F1-4449-AB87-5F8BC21081AF}"/>
    <hyperlink ref="X6" r:id="rId18" xr:uid="{DD219BAD-490A-4CDB-B50B-1EA886EADABD}"/>
    <hyperlink ref="U7" r:id="rId19" xr:uid="{F8699B30-E83E-490B-BD28-7B77FD679A09}"/>
    <hyperlink ref="V7" r:id="rId20" xr:uid="{572209D8-2310-4A80-BC42-599A3151975D}"/>
    <hyperlink ref="X7" r:id="rId21" xr:uid="{D62BE699-37D8-4BD8-895C-FA6682ACCECB}"/>
    <hyperlink ref="U8" r:id="rId22" xr:uid="{22A9F273-3F9F-4BF1-A8E1-182EA82ED0A0}"/>
    <hyperlink ref="V8" r:id="rId23" xr:uid="{820E57F7-6EF3-4141-A8C8-9E850A02F7BD}"/>
    <hyperlink ref="W8" r:id="rId24" xr:uid="{8757353A-4CBB-497C-9687-61BA82A45F76}"/>
    <hyperlink ref="X8" r:id="rId25" xr:uid="{EBF9B388-0598-4DC0-A030-AD04BD233207}"/>
    <hyperlink ref="U9" r:id="rId26" xr:uid="{2EE4BE17-FC28-4AD5-9CDE-306EAA8FCAE9}"/>
    <hyperlink ref="V9" r:id="rId27" xr:uid="{DDAD9C1D-2D89-4848-8EB2-0B7EA8075F6A}"/>
    <hyperlink ref="W9" r:id="rId28" xr:uid="{730EC768-2F64-446C-9E51-AF9FE57701B0}"/>
    <hyperlink ref="X9" r:id="rId29" xr:uid="{D8D8D350-51E7-4107-988A-924C11B6A67F}"/>
    <hyperlink ref="U10" r:id="rId30" xr:uid="{E8CA14C7-1C18-4595-992B-9E068E2C8D51}"/>
    <hyperlink ref="V10" r:id="rId31" xr:uid="{55A02C3F-2D4B-4C6F-9EDB-E13D620F640C}"/>
    <hyperlink ref="X10" r:id="rId32" xr:uid="{3B3F197F-DE49-4361-A0CD-885F589515A6}"/>
    <hyperlink ref="U11" r:id="rId33" xr:uid="{DECE774C-A2E4-486C-AA35-CED11E990F7A}"/>
    <hyperlink ref="V11" r:id="rId34" xr:uid="{0FAA765E-E194-4173-AF11-61D2B64BE70F}"/>
    <hyperlink ref="W11" r:id="rId35" xr:uid="{2B7BE6C9-61C7-43BB-8871-9E1FD3CEEA61}"/>
    <hyperlink ref="X11" r:id="rId36" xr:uid="{84F38CEC-4793-462F-8AFE-3CF458691014}"/>
    <hyperlink ref="U13" r:id="rId37" xr:uid="{4C2AFB27-0237-429C-A391-7027CC0724F7}"/>
    <hyperlink ref="V13" r:id="rId38" xr:uid="{9DD97C5C-6265-4591-8972-3482E8A6BBE7}"/>
    <hyperlink ref="W13" r:id="rId39" xr:uid="{FBA6CD41-939E-4084-A18C-46BE6D870895}"/>
    <hyperlink ref="X13" r:id="rId40" xr:uid="{B4F7F8D3-623B-4F5C-AABB-E7959820D2BC}"/>
    <hyperlink ref="W14" r:id="rId41" xr:uid="{A46B10F4-66F5-4EE9-9160-15D588963AB2}"/>
    <hyperlink ref="X14" r:id="rId42" xr:uid="{D4CEA82F-7D89-404A-A569-31F0A6265E2A}"/>
    <hyperlink ref="U15" r:id="rId43" xr:uid="{9C419958-C4A0-4B9F-93EB-CEA11CEE5EB0}"/>
    <hyperlink ref="V15" r:id="rId44" xr:uid="{60EA7058-5910-491B-8D4A-73BCDFCCD82F}"/>
    <hyperlink ref="X15" r:id="rId45" xr:uid="{D43AAF9C-99DA-4A7E-8451-F7C189F6504F}"/>
    <hyperlink ref="U16" r:id="rId46" xr:uid="{12353CE2-8E11-41A0-8214-CD7E6A93C958}"/>
    <hyperlink ref="V16" r:id="rId47" xr:uid="{5E83BB8D-FCCB-4FA4-AF77-D23EC1CD82E6}"/>
    <hyperlink ref="W16" r:id="rId48" xr:uid="{EA64F158-EE87-4AC5-977F-9DD5E51C6597}"/>
    <hyperlink ref="X16" r:id="rId49" xr:uid="{2394837C-6E80-4EC7-9D61-AD5627AE7D56}"/>
    <hyperlink ref="U17" r:id="rId50" xr:uid="{F5F7B514-9391-447D-A247-9779DB791609}"/>
    <hyperlink ref="V17" r:id="rId51" xr:uid="{CC61B56B-C6B9-431E-83A5-6D660A07D700}"/>
    <hyperlink ref="X17" r:id="rId52" xr:uid="{A5DB4B00-E709-46C3-8416-79E72F6E4D24}"/>
    <hyperlink ref="U18" r:id="rId53" xr:uid="{99226092-C430-4A41-AE30-8D4A10D679F1}"/>
    <hyperlink ref="V18" r:id="rId54" xr:uid="{3EC6DDE1-0590-407E-9C13-24C5A3F43E0B}"/>
    <hyperlink ref="W18" r:id="rId55" xr:uid="{733B8580-D375-4ECB-9377-768BF4D9604B}"/>
    <hyperlink ref="X18" r:id="rId56" xr:uid="{265CDCF3-D352-46E8-AA46-B70EE0AADEA7}"/>
    <hyperlink ref="U19" r:id="rId57" xr:uid="{3771804C-05D8-43DB-824E-35BB0266653D}"/>
    <hyperlink ref="V19" r:id="rId58" xr:uid="{87E723A5-5B95-4F14-A953-EFD61A120FA0}"/>
    <hyperlink ref="W19" r:id="rId59" xr:uid="{3992CED9-3D65-49EF-89E4-D22BDE428588}"/>
    <hyperlink ref="X19" r:id="rId60" xr:uid="{68C0B37F-C6D3-480F-94C4-E40CFBF2A271}"/>
    <hyperlink ref="U20" r:id="rId61" xr:uid="{21FA6FB2-96EF-4371-9F99-183C7CC08D77}"/>
    <hyperlink ref="V20" r:id="rId62" xr:uid="{C5967A64-F98C-41DF-9D70-5B80E27224EF}"/>
    <hyperlink ref="W20" r:id="rId63" xr:uid="{C5EF43D6-C063-4C7B-9D2F-ABBB86FAF141}"/>
    <hyperlink ref="X20" r:id="rId64" xr:uid="{7815962B-D25D-4FAB-9F0E-14F796BFE231}"/>
    <hyperlink ref="U21" r:id="rId65" xr:uid="{3B9EA14E-672F-4012-BDD1-921BC073016E}"/>
    <hyperlink ref="V21" r:id="rId66" xr:uid="{851C45FF-4BFD-4BFE-9F63-4420C0ED9D3B}"/>
    <hyperlink ref="X21" r:id="rId67" xr:uid="{13899E81-4784-493E-9C59-676DBE13B84F}"/>
    <hyperlink ref="U22" r:id="rId68" xr:uid="{15F601F9-FA7D-40A0-87E2-0ADC9A29A313}"/>
    <hyperlink ref="V22" r:id="rId69" xr:uid="{C0409B5C-AD39-4F9C-8D5B-8B8B47A3F475}"/>
    <hyperlink ref="W22" r:id="rId70" xr:uid="{71E1C45D-FF81-42A5-903A-2E93F9A2D82E}"/>
    <hyperlink ref="X22" r:id="rId71" xr:uid="{34DBCA31-7A23-40F9-994C-61CA69D79726}"/>
    <hyperlink ref="U23" r:id="rId72" xr:uid="{C452D671-0B49-4608-93CC-49C38FA5F1B3}"/>
    <hyperlink ref="V23" r:id="rId73" xr:uid="{417D31CD-7694-4237-B23D-F4247A460997}"/>
    <hyperlink ref="W23" r:id="rId74" xr:uid="{9C795611-FDA3-4249-B4B9-AF3B6F8ACECB}"/>
    <hyperlink ref="X23" r:id="rId75" xr:uid="{A4550A94-CF6B-4373-95EC-AF97B5BC9787}"/>
    <hyperlink ref="U24" r:id="rId76" xr:uid="{404E787B-0E71-4B2C-B974-EE54C578FD6A}"/>
    <hyperlink ref="V24" r:id="rId77" xr:uid="{5AAF7280-ADCB-48EA-A5AA-D2025D10519C}"/>
    <hyperlink ref="W24" r:id="rId78" xr:uid="{AACAA574-EE32-4E29-8E48-9F28624F93AE}"/>
    <hyperlink ref="X24" r:id="rId79" xr:uid="{E9DCEC2F-AC90-4FF3-A2E8-7A455F7D07DD}"/>
    <hyperlink ref="U25" r:id="rId80" xr:uid="{D7C1E598-9452-4945-989F-0D24D8E28E9D}"/>
    <hyperlink ref="V25" r:id="rId81" xr:uid="{C3FC1F0E-612B-4AF2-94A8-839C9854DC97}"/>
    <hyperlink ref="X25" r:id="rId82" xr:uid="{70055CC1-218A-4CB8-82FD-E1BD557CF5CF}"/>
    <hyperlink ref="U26" r:id="rId83" xr:uid="{86D612BF-5BFF-4B6F-9D5F-4EEB18A7796D}"/>
    <hyperlink ref="V26" r:id="rId84" xr:uid="{A26425BF-DD3B-4454-8A3A-EBCABB6160A6}"/>
    <hyperlink ref="W26" r:id="rId85" xr:uid="{29DE5BDD-7055-4057-A914-7B272769311B}"/>
    <hyperlink ref="U27" r:id="rId86" xr:uid="{C64DC4B9-3050-45C0-9FFC-AD7D794D6FA3}"/>
    <hyperlink ref="V27" r:id="rId87" xr:uid="{43CA7DD8-75E6-484D-ADE1-254271AD4BCF}"/>
    <hyperlink ref="W27" r:id="rId88" xr:uid="{6154A050-007A-46F7-96A4-109BCCD73641}"/>
    <hyperlink ref="X27" r:id="rId89" xr:uid="{20F53C4B-6B75-4C38-B60B-CC0C415AF24D}"/>
    <hyperlink ref="U28" r:id="rId90" xr:uid="{63941D71-9778-4401-B1A7-3D9A6490DA4E}"/>
    <hyperlink ref="V28" r:id="rId91" xr:uid="{4BD89CCA-4D26-4F90-AF9B-270E915A10F4}"/>
    <hyperlink ref="W28" r:id="rId92" xr:uid="{D7153AB6-33BB-4DD2-9957-0CFACE41F030}"/>
    <hyperlink ref="X28" r:id="rId93" xr:uid="{D70800BD-75D8-4613-984B-BE23E8F8892D}"/>
    <hyperlink ref="U29" r:id="rId94" xr:uid="{83DB92C3-2A1E-424A-9892-E8E77D1AB441}"/>
    <hyperlink ref="V29" r:id="rId95" xr:uid="{0F59C6F4-9902-46F3-B60B-464B13116083}"/>
    <hyperlink ref="W29" r:id="rId96" xr:uid="{28EFB803-69CF-4E4F-9F41-FF3A5ECD9BA1}"/>
    <hyperlink ref="X29" r:id="rId97" xr:uid="{A436E968-0268-411D-BBC6-7158B175725E}"/>
    <hyperlink ref="U30" r:id="rId98" xr:uid="{AFEAE60F-5422-46A8-BF19-ECAF712F172F}"/>
    <hyperlink ref="V30" r:id="rId99" xr:uid="{EDFAE9CC-E7D9-4BC7-9A89-5C00EF857665}"/>
    <hyperlink ref="W30" r:id="rId100" xr:uid="{AB98CFAB-A573-462B-BD8F-E5AC54316D9C}"/>
    <hyperlink ref="X30" r:id="rId101" xr:uid="{3F44D9AE-B6D9-4586-9ED8-A6A8E996ACFA}"/>
    <hyperlink ref="U31" r:id="rId102" xr:uid="{1E2CF4A6-4FFA-4690-B9B0-4C40E6DDBC99}"/>
    <hyperlink ref="V31" r:id="rId103" xr:uid="{8B750292-E7FE-4EE6-B016-253BBB19EA70}"/>
    <hyperlink ref="W31" r:id="rId104" xr:uid="{62C16B21-88AA-4AFD-A864-22A49713A17B}"/>
    <hyperlink ref="X31" r:id="rId105" xr:uid="{AEAC82CC-2374-4B81-877E-297F7A70903E}"/>
    <hyperlink ref="U32" r:id="rId106" xr:uid="{145C5DE5-34C0-4A54-A4A8-CB5CCCD4AD88}"/>
    <hyperlink ref="V32" r:id="rId107" xr:uid="{98B852ED-BC24-4393-8BC6-021006D039CD}"/>
    <hyperlink ref="W32" r:id="rId108" xr:uid="{9AB518FA-00F3-42CF-987C-FA5C668E6A74}"/>
    <hyperlink ref="X32" r:id="rId109" xr:uid="{F0432DD7-86DC-4C13-87F6-6E712646DC16}"/>
    <hyperlink ref="U33" r:id="rId110" xr:uid="{3822F8DE-666B-4431-B40C-4C9F0D4A1587}"/>
    <hyperlink ref="V33" r:id="rId111" xr:uid="{C0C8F61E-2E1F-466B-A0F8-FD9E1A8CF69A}"/>
    <hyperlink ref="W33" r:id="rId112" xr:uid="{A7297C5B-4E10-4B74-95BE-87E5319E7545}"/>
    <hyperlink ref="X33" r:id="rId113" xr:uid="{867E8EC5-53D2-4B38-89CB-5C7456E4B433}"/>
    <hyperlink ref="U34" r:id="rId114" xr:uid="{1AE0B0E9-F755-41FE-95C3-158FE4F23477}"/>
    <hyperlink ref="V34" r:id="rId115" xr:uid="{D4B86CD5-2162-4C77-8E78-BACABDE05BFD}"/>
    <hyperlink ref="W34" r:id="rId116" xr:uid="{A36853F7-8C3B-492E-AB9C-1FBAFC00723C}"/>
    <hyperlink ref="X34" r:id="rId117" xr:uid="{88020604-FEA3-42CF-B420-4BDA8750DFA0}"/>
    <hyperlink ref="U35" r:id="rId118" xr:uid="{B39A46C1-4DFE-4A8D-A2CF-9136711E24F8}"/>
    <hyperlink ref="V35" r:id="rId119" xr:uid="{5CC684A8-EF55-4077-9674-066285D1F8D5}"/>
    <hyperlink ref="W35" r:id="rId120" xr:uid="{C13B8867-7C87-4886-AF94-E4785A1859C0}"/>
    <hyperlink ref="X35" r:id="rId121" xr:uid="{4B1B3334-3082-421A-BDA5-5B7F2A4C9608}"/>
    <hyperlink ref="U36" r:id="rId122" xr:uid="{E1598CC6-59B8-49A3-B8AC-65A429CC7C8C}"/>
    <hyperlink ref="V36" r:id="rId123" xr:uid="{E6A2359F-5508-49C7-A9D2-7E8466A19D3E}"/>
    <hyperlink ref="X36" r:id="rId124" xr:uid="{2601B2D5-5EE8-4704-806F-CE69297D5BD2}"/>
    <hyperlink ref="U37" r:id="rId125" xr:uid="{3C979135-0A70-47E1-B698-77A4D8B59F64}"/>
    <hyperlink ref="V37" r:id="rId126" xr:uid="{19F8F05C-544B-40FF-A32B-E1D71982F55B}"/>
    <hyperlink ref="X37" r:id="rId127" xr:uid="{41E25DB1-2222-49D8-9F76-8593E7A5E220}"/>
    <hyperlink ref="U38" r:id="rId128" xr:uid="{9FAC0850-0897-4F4C-A688-33EF7839C249}"/>
    <hyperlink ref="V38" r:id="rId129" xr:uid="{4CC0972D-251C-49F4-B164-A0F5EC39B6CB}"/>
    <hyperlink ref="X38" r:id="rId130" xr:uid="{5A7B5FE7-D7C9-426E-B883-5DDE3813AC3D}"/>
    <hyperlink ref="U39" r:id="rId131" xr:uid="{2E02FD53-EE2A-4D62-9F98-B77DDD0B7551}"/>
    <hyperlink ref="V39" r:id="rId132" xr:uid="{E0673AAF-DE72-4958-9CAB-1B4F5CD29B8D}"/>
    <hyperlink ref="W39" r:id="rId133" xr:uid="{2F580A05-1E40-48DA-AA0F-7743BD903527}"/>
    <hyperlink ref="X39" r:id="rId134" xr:uid="{7037269F-9418-454F-A61B-9963BE130B23}"/>
    <hyperlink ref="U40" r:id="rId135" xr:uid="{6A5FDCD7-D31F-4B87-B1A9-D543D1448974}"/>
    <hyperlink ref="V40" r:id="rId136" xr:uid="{683814BA-F3A5-4D92-B56C-81A5C0AF2026}"/>
    <hyperlink ref="W40" r:id="rId137" xr:uid="{21BB2034-0A78-4A67-97CB-851958998385}"/>
    <hyperlink ref="X40" r:id="rId138" xr:uid="{27E11BE1-06E8-42F7-A2BA-076EAF219728}"/>
    <hyperlink ref="U41" r:id="rId139" xr:uid="{0929BF70-85DB-43FF-831D-E73813C2E074}"/>
    <hyperlink ref="V41" r:id="rId140" xr:uid="{82C14AA2-4A50-483F-9E09-418F2A3C426D}"/>
    <hyperlink ref="W41" r:id="rId141" xr:uid="{D619BAEA-C436-484B-9E13-C069763700D8}"/>
    <hyperlink ref="X41" r:id="rId142" xr:uid="{AAFF4C99-8866-4E2D-90F8-C1F6D71993E5}"/>
    <hyperlink ref="U42" r:id="rId143" xr:uid="{09FC4D9D-E915-4D06-AE0E-3160BF0D6842}"/>
    <hyperlink ref="V42" r:id="rId144" xr:uid="{C1FA22A8-93BD-4B5C-83B8-3ECD90CA869B}"/>
    <hyperlink ref="W42" r:id="rId145" xr:uid="{D9D41D77-6A72-442E-A4B0-5756854D771F}"/>
    <hyperlink ref="X42" r:id="rId146" xr:uid="{0732B99C-1F21-4519-8E91-5BDC1F971F5B}"/>
    <hyperlink ref="U43" r:id="rId147" xr:uid="{9F2B455B-DEF7-4C10-BB37-49A7267F1E3E}"/>
    <hyperlink ref="V43" r:id="rId148" xr:uid="{40AB449B-EE32-4940-9710-9498E6E7ECA6}"/>
    <hyperlink ref="W43" r:id="rId149" xr:uid="{24B86EC9-9EC5-4ED6-BBC6-5F551A76ABB7}"/>
    <hyperlink ref="X43" r:id="rId150" xr:uid="{FD865ACB-538E-4B2B-A9EE-BEB052F7D2EE}"/>
    <hyperlink ref="U44" r:id="rId151" xr:uid="{F0DFAA6C-5BE1-45F5-925E-68F85E46BDFD}"/>
    <hyperlink ref="V44" r:id="rId152" xr:uid="{AB67E4E4-95C0-4A3E-A5DE-2C2FE5C66A09}"/>
    <hyperlink ref="W44" r:id="rId153" xr:uid="{ECB28427-172D-45F3-8F76-A8995F558EEC}"/>
    <hyperlink ref="X44" r:id="rId154" xr:uid="{05909992-C319-465C-A63C-812977856BA9}"/>
    <hyperlink ref="U45" r:id="rId155" xr:uid="{FB40CF2E-9152-4266-8C53-B90E73A671AB}"/>
    <hyperlink ref="V45" r:id="rId156" xr:uid="{BA678044-5E6B-42C0-A9BD-3012E4785E3A}"/>
    <hyperlink ref="W45" r:id="rId157" xr:uid="{5CED3A4F-6AA4-4FFF-8369-10CD3C90123F}"/>
    <hyperlink ref="X45" r:id="rId158" xr:uid="{A5B28CC1-FDBB-49FF-A796-08E147FDE9EB}"/>
    <hyperlink ref="U46" r:id="rId159" xr:uid="{9C1BE70C-DEC6-48BA-99DD-9F92C24D2366}"/>
    <hyperlink ref="V46" r:id="rId160" xr:uid="{61C2B1DC-B878-4DFA-851D-24008A390511}"/>
    <hyperlink ref="W46" r:id="rId161" xr:uid="{CA43A30A-A19B-4847-A030-1C8316669F85}"/>
    <hyperlink ref="X46" r:id="rId162" xr:uid="{335B2EB1-D4E4-4FB4-BC90-60CB9FDBC190}"/>
    <hyperlink ref="U47" r:id="rId163" xr:uid="{2069C53B-B6DB-4D61-9B2F-F819A1330371}"/>
    <hyperlink ref="V47" r:id="rId164" xr:uid="{325F1155-DCE5-4544-B0DE-1711555CAE5C}"/>
    <hyperlink ref="W47" r:id="rId165" xr:uid="{EEE19D61-07FC-4F62-A383-47774CADC44B}"/>
    <hyperlink ref="X47" r:id="rId166" xr:uid="{63DA9FD3-04B4-41EF-A4CE-B6127A648731}"/>
    <hyperlink ref="U48" r:id="rId167" xr:uid="{33589F7E-693A-494A-AD3A-4795B596B8CB}"/>
    <hyperlink ref="V48" r:id="rId168" xr:uid="{28A6ED11-A321-46F7-9B86-E3727E3A7C7A}"/>
    <hyperlink ref="W48" r:id="rId169" xr:uid="{E0B592FE-300C-4772-9C51-B22F5FB80CB0}"/>
    <hyperlink ref="X48" r:id="rId170" xr:uid="{EE74E89B-4844-4FB8-8D13-CFDAAFAF0488}"/>
    <hyperlink ref="U49" r:id="rId171" xr:uid="{FA0C5D0A-AA2B-4E1C-96E2-F2DD88803A32}"/>
    <hyperlink ref="V49" r:id="rId172" xr:uid="{ABE95339-DB6F-4303-A3B0-6A5E320E0CA0}"/>
    <hyperlink ref="W49" r:id="rId173" xr:uid="{D2D77F45-DA36-4979-9812-0908D51FFAA2}"/>
    <hyperlink ref="X49" r:id="rId174" xr:uid="{507D6960-6871-45B4-BBEB-CFDB20707256}"/>
    <hyperlink ref="U50" r:id="rId175" xr:uid="{98D4AF68-6A29-41DA-9FD4-AEDE3BB1209F}"/>
    <hyperlink ref="V50" r:id="rId176" xr:uid="{DF8EB615-E31B-4827-A4E6-DA490BE367F6}"/>
    <hyperlink ref="X50" r:id="rId177" xr:uid="{CC6C0CAC-96C6-4DC9-B8CE-D82058800B3D}"/>
  </hyperlinks>
  <pageMargins left="0.7" right="0.7" top="0.75" bottom="0.75" header="0.3" footer="0.3"/>
  <tableParts count="1">
    <tablePart r:id="rId1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2026-09-22T11:55:50Z</dcterms:modified>
</cp:coreProperties>
</file>