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EC87F5E3-C78D-4A39-A2EE-F496D551C052}"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56" i="1" l="1"/>
  <c r="AH57" i="1"/>
  <c r="AI56" i="1"/>
  <c r="AI57" i="1"/>
  <c r="AJ56" i="1"/>
  <c r="AJ57" i="1"/>
  <c r="AH51" i="1"/>
  <c r="AH52" i="1"/>
  <c r="AH53" i="1"/>
  <c r="AH54" i="1"/>
  <c r="AH55" i="1"/>
  <c r="AI51" i="1"/>
  <c r="AI52" i="1"/>
  <c r="AI53" i="1"/>
  <c r="AI54" i="1"/>
  <c r="AI55" i="1"/>
  <c r="AJ51" i="1"/>
  <c r="AJ52" i="1"/>
  <c r="AJ53" i="1"/>
  <c r="AJ54" i="1"/>
  <c r="AJ55" i="1"/>
  <c r="AH50" i="1"/>
  <c r="AI50" i="1"/>
  <c r="AJ50" i="1"/>
  <c r="AH48" i="1"/>
  <c r="AH49" i="1"/>
  <c r="AI48" i="1"/>
  <c r="AI49" i="1"/>
  <c r="AJ48" i="1"/>
  <c r="AJ49" i="1"/>
  <c r="AH47" i="1"/>
  <c r="AI47" i="1"/>
  <c r="AJ47" i="1"/>
  <c r="AH45" i="1"/>
  <c r="AH46" i="1"/>
  <c r="AI45" i="1"/>
  <c r="AI46" i="1"/>
  <c r="AJ45" i="1"/>
  <c r="AJ46" i="1"/>
  <c r="AH44" i="1"/>
  <c r="AI44" i="1"/>
  <c r="AJ44" i="1"/>
  <c r="AH43" i="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<sst xmlns="http://schemas.openxmlformats.org/spreadsheetml/2006/main" count="1508" uniqueCount="493">
  <si>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</si>
  <si>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</si>
  <si>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</si>
  <si>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</si>
  <si>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</si>
  <si>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</si>
  <si>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</si>
  <si>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</si>
  <si>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</si>
  <si>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</si>
  <si>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</si>
  <si>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</si>
  <si>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</si>
  <si>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</si>
  <si>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</si>
  <si>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</si>
  <si>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</si>
  <si>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</si>
  <si>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</si>
  <si>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</si>
  <si>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</si>
  <si>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</si>
  <si>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</si>
  <si>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</si>
  <si>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</si>
  <si>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</si>
  <si>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</si>
  <si>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</si>
  <si>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</si>
  <si>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</si>
  <si>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</si>
  <si>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</si>
  <si>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</si>
  <si>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</si>
  <si>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</si>
  <si>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</si>
  <si>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</si>
  <si>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</si>
  <si>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</si>
  <si>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</si>
  <si>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</si>
  <si>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</si>
  <si>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</si>
  <si>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</si>
  <si>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</si>
  <si>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</si>
  <si>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</si>
  <si>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</si>
  <si>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</si>
  <si>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</si>
  <si>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</si>
  <si>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</si>
  <si>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</si>
  <si>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</si>
  <si>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</si>
  <si>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</si>
  <si>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</si>
  <si>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</si>
  <si>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</si>
  <si>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</si>
  <si>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</si>
  <si>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</si>
  <si>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</si>
  <si>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</si>
  <si>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</si>
  <si>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</si>
  <si>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</si>
  <si>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</si>
  <si>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</si>
  <si>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</si>
  <si>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</si>
  <si>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</si>
  <si>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</si>
  <si>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</si>
  <si>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</si>
  <si>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</si>
  <si>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</si>
  <si>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</si>
  <si>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</si>
  <si>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</si>
  <si>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</si>
  <si>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</si>
  <si>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</si>
  <si>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</si>
  <si>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</si>
  <si>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</si>
  <si>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</si>
  <si>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</si>
  <si>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</si>
  <si>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</si>
  <si>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</si>
  <si>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</si>
  <si>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</si>
  <si>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</si>
  <si>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</si>
  <si>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</si>
  <si>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</si>
  <si>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</si>
  <si>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</si>
  <si>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</si>
  <si>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</si>
  <si>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</si>
  <si>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</si>
  <si>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</si>
  <si>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</si>
  <si>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</si>
  <si>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</si>
  <si>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</si>
  <si>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</si>
  <si>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</si>
  <si>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</si>
  <si>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</si>
  <si>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</si>
  <si>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</si>
  <si>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</si>
  <si>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</si>
  <si>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</si>
  <si>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</si>
  <si>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</si>
  <si>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</si>
  <si>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</si>
  <si>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</si>
  <si>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</si>
  <si>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</si>
  <si>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</si>
  <si>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</si>
  <si>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</si>
  <si>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</si>
  <si>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</si>
  <si>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</si>
  <si>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</si>
  <si>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</si>
  <si>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</si>
  <si>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</si>
  <si>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</si>
  <si>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</si>
  <si>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</si>
  <si>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</si>
  <si>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</si>
  <si>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</si>
  <si>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</si>
  <si>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</si>
  <si>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</si>
  <si>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</si>
  <si>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</si>
  <si>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</si>
  <si>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</si>
  <si>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</si>
  <si>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</si>
  <si>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</si>
  <si>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</si>
  <si>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</si>
  <si>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</si>
  <si>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</si>
  <si>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</si>
  <si>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</si>
  <si>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</si>
  <si>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</si>
  <si>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</si>
  <si>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</si>
  <si>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</si>
  <si>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</si>
  <si>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</si>
  <si>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</si>
  <si>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</si>
  <si>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</si>
  <si>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</si>
  <si>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</si>
  <si>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</si>
  <si>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</si>
  <si>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</si>
  <si>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</si>
  <si>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</si>
  <si>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</si>
  <si>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</si>
  <si>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</si>
  <si>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</si>
  <si>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</si>
  <si>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</si>
  <si>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</si>
  <si>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</si>
  <si>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</si>
  <si>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</si>
  <si>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</si>
  <si>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</si>
  <si>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</si>
  <si>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</si>
  <si>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</si>
  <si>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</si>
  <si>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</si>
  <si>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</si>
  <si>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</si>
  <si>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</si>
  <si>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</si>
  <si>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</si>
  <si>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</si>
  <si>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</si>
  <si>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</si>
  <si>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</si>
  <si>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</si>
  <si>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</si>
  <si>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</si>
  <si>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</si>
  <si>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</si>
  <si>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</si>
  <si>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</si>
  <si>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</si>
  <si>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</si>
  <si>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</si>
  <si>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</si>
  <si>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</si>
  <si>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</si>
  <si>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</si>
  <si>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</si>
  <si>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</si>
  <si>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</si>
  <si>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</si>
  <si>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</si>
  <si>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</si>
  <si>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</si>
  <si>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</si>
  <si>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</si>
  <si>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</si>
  <si>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</si>
  <si>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</si>
  <si>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</si>
  <si>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</si>
  <si>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</si>
  <si>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</si>
  <si>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</si>
  <si>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</si>
  <si>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</si>
  <si>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</si>
  <si>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</si>
  <si>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</si>
  <si>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</si>
  <si>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</si>
  <si>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</si>
  <si>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</si>
  <si>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</si>
  <si>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</si>
  <si>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</si>
  <si>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</si>
  <si>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</si>
  <si>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</si>
  <si>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</si>
  <si>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</si>
  <si>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</si>
  <si>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</si>
  <si>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</si>
  <si>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</si>
  <si>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</si>
  <si>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</si>
  <si>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</si>
  <si>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</si>
  <si>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</si>
  <si>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</si>
  <si>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</si>
  <si>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</si>
  <si>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</si>
  <si>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</si>
  <si>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</si>
  <si>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</si>
  <si>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</si>
  <si>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</si>
  <si>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</si>
  <si>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</si>
  <si>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</si>
  <si>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</si>
  <si>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</si>
  <si>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</si>
  <si>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</si>
  <si>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</si>
  <si>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</si>
  <si>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</si>
  <si>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</si>
  <si>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</si>
  <si>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</si>
  <si>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</si>
  <si>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</si>
  <si>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</si>
  <si>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</si>
  <si>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</si>
  <si>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</si>
  <si>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</si>
  <si>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</si>
  <si>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</si>
  <si>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</si>
  <si>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</si>
  <si>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</si>
  <si>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</si>
  <si>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</si>
  <si>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</si>
  <si>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</si>
  <si>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</si>
  <si>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</si>
  <si>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</si>
  <si>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</si>
  <si>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</si>
  <si>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</si>
  <si>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</si>
  <si>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</si>
  <si>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</si>
  <si>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</si>
  <si>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</si>
  <si>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</si>
  <si>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</si>
  <si>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</si>
  <si>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</si>
  <si>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</si>
  <si>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</si>
  <si>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</si>
  <si>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</si>
  <si>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</si>
  <si>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</si>
  <si>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</si>
  <si>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</si>
  <si>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</si>
  <si>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</si>
  <si>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</si>
  <si>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</si>
  <si>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</si>
  <si>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</si>
  <si>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</si>
  <si>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</si>
  <si>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</si>
  <si>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</si>
  <si>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</si>
  <si>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</si>
  <si>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</si>
  <si>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</si>
  <si>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</si>
  <si>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</si>
  <si>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</si>
  <si>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</si>
  <si>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</si>
  <si>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</si>
  <si>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</si>
  <si>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</si>
  <si>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</si>
  <si>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</si>
  <si>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</si>
  <si>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</si>
  <si>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</si>
  <si>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</si>
  <si>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</si>
  <si>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</si>
  <si>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</si>
  <si>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</si>
  <si>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</si>
  <si>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</si>
  <si>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</si>
  <si>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</si>
  <si>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</si>
  <si>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</si>
  <si>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</si>
  <si>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</si>
  <si>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</si>
  <si>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</si>
  <si>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</si>
  <si>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</si>
  <si>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</si>
  <si>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</si>
  <si>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</si>
  <si>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</si>
  <si>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</si>
  <si>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</si>
  <si>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</si>
  <si>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</si>
  <si>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</si>
  <si>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</si>
  <si>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</si>
  <si>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</si>
  <si>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</si>
  <si>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</si>
  <si>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</si>
  <si>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</si>
  <si>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</si>
  <si>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</si>
  <si>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</si>
  <si>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</si>
  <si>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</si>
  <si>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</si>
  <si>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</si>
  <si>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</si>
  <si>
    <t>1-3NQ40XW0</t>
  </si>
  <si>
    <t xml:space="preserve">Juan Martinez De Rosa 5093, Quinta Normal </t>
  </si>
  <si>
    <t>Ricardo Morales</t>
  </si>
  <si>
    <t>https://drive.google.com/open?id=1FPvFPDgEnnypJWf0VXmV29yOAdaRKUZR</t>
  </si>
  <si>
    <t>https://drive.google.com/open?id=1otNSCl6WVib1dsbC8I8_nAyXRJ9qrRVm</t>
  </si>
  <si>
    <t>https://drive.google.com/open?id=10tliLsuE2PB_Jc-GAEJOLCkIX_U0HfhN</t>
  </si>
  <si>
    <t>https://drive.google.com/open?id=1Qp5ezsgZAQ38PrHjL_3U5p91DxI5bHmh</t>
  </si>
  <si>
    <t xml:space="preserve">No retira pestaña en roseta, sin dificultad Conector </t>
  </si>
  <si>
    <t>1-3NRRATPK</t>
  </si>
  <si>
    <t>Cuadro verde 150 edif 1 dpto 83, Estacion Central</t>
  </si>
  <si>
    <t>Jaime Carrillo</t>
  </si>
  <si>
    <t>https://drive.google.com/open?id=1H08P5rlpRN_laQ_a1DAfCZydYE8kle1J</t>
  </si>
  <si>
    <t>https://drive.google.com/open?id=14uxy8hUORxfoeCTanmU6qVyMCVQR5mFg</t>
  </si>
  <si>
    <t>https://drive.google.com/open?id=1QUbHfHIInppcuY4avzGQ8BoX81fsrszR</t>
  </si>
  <si>
    <t>https://drive.google.com/open?id=1V9PMOnlqYqfCZoTXIqI4Jj4cEQqAC2Gi</t>
  </si>
  <si>
    <t>No retira pestaña en roseta</t>
  </si>
  <si>
    <t xml:space="preserve">1-3NRWT22T </t>
  </si>
  <si>
    <t xml:space="preserve">Mundo Nuevo 4405, Quinta Normal </t>
  </si>
  <si>
    <t>Andrea Muñoz</t>
  </si>
  <si>
    <t>https://drive.google.com/open?id=1HuvvMuctR9m1VrvdLiRxt2OQIB1-g_Iv</t>
  </si>
  <si>
    <t>https://drive.google.com/open?id=1PVSZSZf1DgoMJ-OqDtUMa_7eL8vMTWsJ</t>
  </si>
  <si>
    <t>https://drive.google.com/open?id=1iBf4CyIyl_Kn6bd5FQcqxIVLAlexu6wI</t>
  </si>
  <si>
    <t>https://drive.google.com/open?id=1bkLvpgjZFHF_EH3JYOlqWL_viViW592z</t>
  </si>
  <si>
    <t xml:space="preserve">Instalación de roseta fuera de norma a petición de cliente, técnico ocupa herramientas one click según procedimiento </t>
  </si>
  <si>
    <t>1-3NSYNSJO</t>
  </si>
  <si>
    <t xml:space="preserve">Profesor fuentes maturana 5550, Quinta Normal </t>
  </si>
  <si>
    <t>Victor Poblete</t>
  </si>
  <si>
    <t>https://drive.google.com/open?id=1A1HdoZV4K2-AV-NhQvzQZXyfq2e4TI7J</t>
  </si>
  <si>
    <t>https://drive.google.com/open?id=1PTIDd-AS6cynot9xfLospy-xuV3Vkr1A</t>
  </si>
  <si>
    <t>https://drive.google.com/open?id=1OVqFnS5KM8dMxyy7T1aZEPfk1W1x8s1F</t>
  </si>
  <si>
    <t>https://drive.google.com/open?id=1vKkd3BF0vSLMJrZVAjhV9LScvzP4jr0M</t>
  </si>
  <si>
    <t>Se conversa sobre indicador de calidad para su mejora</t>
  </si>
  <si>
    <t xml:space="preserve"> 1-3NUIL83A</t>
  </si>
  <si>
    <t>Lafayette 2017, Recoleta</t>
  </si>
  <si>
    <t>Fabian Carvajal</t>
  </si>
  <si>
    <t>https://drive.google.com/open?id=19WrR74n1etaBVMen-DyGV33OgXSmaz8L</t>
  </si>
  <si>
    <t>https://drive.google.com/open?id=1KYFrVw1pL_0Q5oqO_iS8O72xbLCBhlDg</t>
  </si>
  <si>
    <t>https://drive.google.com/open?id=1E-Gbl11mMALafzRVGS9zWvYHrsIvefWr</t>
  </si>
  <si>
    <t>https://drive.google.com/open?id=1ifBXJXqm2X_xYoaodxi7OSxX1hht8G-z</t>
  </si>
  <si>
    <t>Instalación correcta, uso de cable utp para extensor, niveles de decodificador en norma, REALIZA RETIRO DE PESTAÑA EN ROSETA</t>
  </si>
  <si>
    <t>1-3NUF59Z9</t>
  </si>
  <si>
    <t>EL ROBLE 939 EDIF. B3 DEPTO 201, Recoleta</t>
  </si>
  <si>
    <t>Carlos Huircapan</t>
  </si>
  <si>
    <t>https://drive.google.com/open?id=199_vOyW5iFDWSkctyOAkdwUa0RLZsyBc</t>
  </si>
  <si>
    <t>https://drive.google.com/open?id=1JzVJLMeQukMDW8y-h87SfivUGemI6kwr</t>
  </si>
  <si>
    <t>https://drive.google.com/open?id=1KHZKWNghcu8s60NHE0Cd7WS8HLqck28B</t>
  </si>
  <si>
    <t>https://drive.google.com/open?id=1_k81iD8sO1N3-jqZHJHpo_yONU6UPC_b</t>
  </si>
  <si>
    <t>1-3NWP0QWL</t>
  </si>
  <si>
    <t xml:space="preserve">Radal 1498 casa 18, Quinta Normal </t>
  </si>
  <si>
    <t>https://drive.google.com/open?id=18UqvbkY3KeodgQJgaRGa92vrL3i_O1pb</t>
  </si>
  <si>
    <t>https://drive.google.com/open?id=1HyRdfZAs5_cmlSTaVTCGJS2e-A3Si_-a</t>
  </si>
  <si>
    <t>https://drive.google.com/open?id=1pSmPYRJRf0QplqEC0KyyTvvIYPYhPtOJ</t>
  </si>
  <si>
    <t xml:space="preserve">Se instala extensor sin cable utp a petición de cliente </t>
  </si>
  <si>
    <t>1-3NYDXWDZ</t>
  </si>
  <si>
    <t>Jose Joaquin Perez 5002, Quinta Normal</t>
  </si>
  <si>
    <t>Xion yung</t>
  </si>
  <si>
    <t>https://drive.google.com/open?id=1SVjdL1SREykm7ChzJpenb8I47kfK1UzE</t>
  </si>
  <si>
    <t>https://drive.google.com/open?id=12LZ9p5FtvnC68vpX9IRY0k7Kt2z7ctyX</t>
  </si>
  <si>
    <t>https://drive.google.com/open?id=1Gu2K57sxhqPfh1X9tDm9uMhxRJwc6BsI</t>
  </si>
  <si>
    <t>https://drive.google.com/open?id=1WY8wTjEVAmSVDGt_l_SmDLZojmOg5Fh9</t>
  </si>
  <si>
    <t xml:space="preserve">Roseta fuera de norma, no utiliza tornillos, cabe destacar que cliente solicita instalación en ese lugar del restaurante </t>
  </si>
  <si>
    <t>1-3NULQF4Y</t>
  </si>
  <si>
    <t>Renaico 20</t>
  </si>
  <si>
    <t>Mariela Salinas Olivares</t>
  </si>
  <si>
    <t>https://drive.google.com/open?id=1cESVRqpdJjeOszcnv3Da_BgsOU8HvWdM</t>
  </si>
  <si>
    <t>https://drive.google.com/open?id=1i3FZTherkoIMBaWCLspoJ6BJNJLyaqHM</t>
  </si>
  <si>
    <t>https://drive.google.com/open?id=1Ju5vTKFWsmbCWbXDH0-DKehIc1kUdVDr</t>
  </si>
  <si>
    <t>https://drive.google.com/open?id=170uojWKRP6agDUOtvY7h7RA3eY8EctjO</t>
  </si>
  <si>
    <t>Técnico cumple con protocolos.</t>
  </si>
  <si>
    <t>1-3NWS5VBF</t>
  </si>
  <si>
    <t>Cuarta 203</t>
  </si>
  <si>
    <t>Nicolle Bazaez</t>
  </si>
  <si>
    <t>https://drive.google.com/open?id=1A5zdCYMDpDZbe2cOK2q_w86m0nlqlS6y</t>
  </si>
  <si>
    <t>https://drive.google.com/open?id=1hwnvV18sbklFOftopkLg9K9ph8gM_K2A</t>
  </si>
  <si>
    <t>https://drive.google.com/open?id=1YA4tvvOzypDQxKSpvGyr7KS0raSthwVO</t>
  </si>
  <si>
    <t>https://drive.google.com/open?id=1Jgo67AwJBKn-PzuLf_j0B0y11n39Prjv</t>
  </si>
  <si>
    <t>Reparación del servicio conector y roseta , sin pasamuro drop ya instalado.</t>
  </si>
  <si>
    <t>1-3NU93QNJ</t>
  </si>
  <si>
    <t>Dickens 73</t>
  </si>
  <si>
    <t>Mauricio Aguilar</t>
  </si>
  <si>
    <t>https://drive.google.com/open?id=1t0rl7ZhanneL1kDYdamFHO1ClKyQzDhu</t>
  </si>
  <si>
    <t>https://drive.google.com/open?id=1FTpaTqw8FzFwWFFZV4c94VfZwU0M7dwr</t>
  </si>
  <si>
    <t>https://drive.google.com/open?id=1CqgCiO4Jg6z0ZZwXbYOZqc6zcSupYUOf</t>
  </si>
  <si>
    <t>https://drive.google.com/open?id=12_1fCYbIYsFxLMEREWMJfYoHwjfo8zSf</t>
  </si>
  <si>
    <t>1-3NQE982C</t>
  </si>
  <si>
    <t>Vicentico 163 - A</t>
  </si>
  <si>
    <t>Decía Moreno</t>
  </si>
  <si>
    <t>https://drive.google.com/open?id=1eoQygdTcLraes4KFY9NrbNhXgsAMY6CS</t>
  </si>
  <si>
    <t>https://drive.google.com/open?id=1ZEMVSFWl7lIlcjueJPB8r3jhcFV07qjb</t>
  </si>
  <si>
    <t>https://drive.google.com/open?id=143zIjtMBlBRGuy39Zy1SCu8sN8bC_HLf</t>
  </si>
  <si>
    <t>https://drive.google.com/open?id=18iqN_nNvmsQsFAuH2O4vwZLe9hq91gh5</t>
  </si>
  <si>
    <t xml:space="preserve">Técnico cumple con protocolos
</t>
  </si>
  <si>
    <t>1-3NZB9JSU</t>
  </si>
  <si>
    <t>Maria Luisa Bombal 392, Estacion Central</t>
  </si>
  <si>
    <t xml:space="preserve">Robin Cabezas </t>
  </si>
  <si>
    <t>https://drive.google.com/open?id=14XCT5GDoYrV01X7yoQluzp5OUtgah7l6</t>
  </si>
  <si>
    <t>https://drive.google.com/open?id=1vuwsc2hwutUdhauSLmv04RBGPlbbjenr</t>
  </si>
  <si>
    <t>https://drive.google.com/open?id=1tBvmHzuC4Wjp_A4FYcFp3v1-K1fB1EOk</t>
  </si>
  <si>
    <t>https://drive.google.com/open?id=1kS62xVDRxAHj-qrD241KERePfDz5zKW8</t>
  </si>
  <si>
    <t>No instala pasa muros, no utiliza one click</t>
  </si>
  <si>
    <t>1-3NZ3J33L</t>
  </si>
  <si>
    <t>Concon 67 eficio k dpto 22, Estacion Central</t>
  </si>
  <si>
    <t>Ana Valdivia</t>
  </si>
  <si>
    <t>https://drive.google.com/open?id=1Hrh8W0L8k-2x6IeBtumYCfThesBdNmHE</t>
  </si>
  <si>
    <t>https://drive.google.com/open?id=1LFSXTgac_hRUwg3ZMW9p_4VUEozoKB3Z</t>
  </si>
  <si>
    <t>https://drive.google.com/open?id=111kDLoHf7xSz4Rye0Hfn_pTFULHAkIst</t>
  </si>
  <si>
    <t>https://drive.google.com/open?id=1fwXuIedyxLh6p36N2kwV74tpM6WPSBiP</t>
  </si>
  <si>
    <t xml:space="preserve">Migración 3 play, instalación no se demoró menos de 2 horas, sin embargo problemas con telefonía y gestión con blip se demoró más de 2 horas para solución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</si>
</sst>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57" headerRowDxfId="34">
  <autoFilter ref="A1:AJ57" xr:uid="{00000000-000C-0000-FFFF-FFFF00000000}"/>
  <tableColumns count="36">
    <tableColumn id="1" xr3:uid="{00000000-0010-0000-0000-000001000000}" name="Marca temporal" dataDxfId="30"/>
    <tableColumn id="2" xr3:uid="{00000000-0010-0000-0000-000002000000}" name="Puntuación" dataDxfId="29"/>
    <tableColumn id="3" xr3:uid="{00000000-0010-0000-0000-000003000000}" name="N° PETICIÓN " dataDxfId="28"/>
    <tableColumn id="4" xr3:uid="{00000000-0010-0000-0000-000004000000}" name="Nombre Técnico" dataDxfId="27"/>
    <tableColumn id="5" xr3:uid="{00000000-0010-0000-0000-000005000000}" name="SUPERVISOR" dataDxfId="26"/>
    <tableColumn id="6" xr3:uid="{00000000-0010-0000-0000-000006000000}" name="Se ejecuto la actividad" dataDxfId="25"/>
    <tableColumn id="7" xr3:uid="{00000000-0010-0000-0000-000007000000}" name="Se concreta auditoria?" dataDxfId="24"/>
    <tableColumn id="8" xr3:uid="{00000000-0010-0000-0000-000008000000}" name="Motivo de la derivación" dataDxfId="33"/>
    <tableColumn id="9" xr3:uid="{00000000-0010-0000-0000-000009000000}" name="Auditoria" dataDxfId="23"/>
    <tableColumn id="10" xr3:uid="{00000000-0010-0000-0000-00000A000000}" name="Actividad" dataDxfId="22"/>
    <tableColumn id="11" xr3:uid="{00000000-0010-0000-0000-00000B000000}" name="Instala drop con soportes" dataDxfId="21"/>
    <tableColumn id="12" xr3:uid="{00000000-0010-0000-0000-00000C000000}" name="DIRECCIÓN (Calle - Numero) " dataDxfId="20"/>
    <tableColumn id="13" xr3:uid="{00000000-0010-0000-0000-00000D000000}" name="Instala Pasa-muros " dataDxfId="19"/>
    <tableColumn id="14" xr3:uid="{00000000-0010-0000-0000-00000E000000}" name="Roseta Óptica en norma y atornillada " dataDxfId="18"/>
    <tableColumn id="15" xr3:uid="{00000000-0010-0000-0000-00000F000000}" name="Repetidor Cableado" dataDxfId="32"/>
    <tableColumn id="16" xr3:uid="{00000000-0010-0000-0000-000010000000}" name="Cantidad Decodificadores" dataDxfId="17"/>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1"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59" Type="http://schemas.openxmlformats.org/officeDocument/2006/relationships/hyperlink" Target="https://drive.google.com/open?id=1HuvvMuctR9m1VrvdLiRxt2OQIB1-g_Iv" TargetMode="External"/><Relationship Id="rId170" Type="http://schemas.openxmlformats.org/officeDocument/2006/relationships/hyperlink" Target="https://drive.google.com/open?id=1ifBXJXqm2X_xYoaodxi7OSxX1hht8G-z" TargetMode="External"/><Relationship Id="rId191" Type="http://schemas.openxmlformats.org/officeDocument/2006/relationships/hyperlink" Target="https://drive.google.com/open?id=1FTpaTqw8FzFwWFFZV4c94VfZwU0M7dwr" TargetMode="External"/><Relationship Id="rId205" Type="http://schemas.openxmlformats.org/officeDocument/2006/relationships/hyperlink" Target="https://drive.google.com/open?id=1fwXuIedyxLh6p36N2kwV74tpM6WPSBiP"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160" Type="http://schemas.openxmlformats.org/officeDocument/2006/relationships/hyperlink" Target="https://drive.google.com/open?id=1PVSZSZf1DgoMJ-OqDtUMa_7eL8vMTWsJ" TargetMode="External"/><Relationship Id="rId181" Type="http://schemas.openxmlformats.org/officeDocument/2006/relationships/hyperlink" Target="https://drive.google.com/open?id=1WY8wTjEVAmSVDGt_l_SmDLZojmOg5Fh9" TargetMode="External"/><Relationship Id="rId22" Type="http://schemas.openxmlformats.org/officeDocument/2006/relationships/hyperlink" Target="https://drive.google.com/open?id=1WwnXsHKOqdcxhVKy7K78PfZqcdpIXWPD" TargetMode="External"/><Relationship Id="rId43" Type="http://schemas.openxmlformats.org/officeDocument/2006/relationships/hyperlink" Target="https://drive.google.com/open?id=1Q8vNcuhdAz4joWsuGjDNyWvbEU-wJasi" TargetMode="External"/><Relationship Id="rId64" Type="http://schemas.openxmlformats.org/officeDocument/2006/relationships/hyperlink" Target="https://drive.google.com/open?id=1TzdMGzyYx5WTozjYRFT2uT4JAqQdxQS9" TargetMode="External"/><Relationship Id="rId118" Type="http://schemas.openxmlformats.org/officeDocument/2006/relationships/hyperlink" Target="https://drive.google.com/open?id=1_dnXHFhbI_rHIPquJovLBhU46yIrAZ3n" TargetMode="External"/><Relationship Id="rId139" Type="http://schemas.openxmlformats.org/officeDocument/2006/relationships/hyperlink" Target="https://drive.google.com/open?id=14swrKT8z_gymQwhT5IhdH-mVs0pplGko"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71" Type="http://schemas.openxmlformats.org/officeDocument/2006/relationships/hyperlink" Target="https://drive.google.com/open?id=199_vOyW5iFDWSkctyOAkdwUa0RLZsyBc" TargetMode="External"/><Relationship Id="rId192" Type="http://schemas.openxmlformats.org/officeDocument/2006/relationships/hyperlink" Target="https://drive.google.com/open?id=1CqgCiO4Jg6z0ZZwXbYOZqc6zcSupYUOf" TargetMode="External"/><Relationship Id="rId206" Type="http://schemas.openxmlformats.org/officeDocument/2006/relationships/table" Target="../tables/table1.xml"/><Relationship Id="rId12" Type="http://schemas.openxmlformats.org/officeDocument/2006/relationships/hyperlink" Target="https://drive.google.com/open?id=1HftL8nuwMbjUi_N_uPN54iieHc1SNhZ7" TargetMode="External"/><Relationship Id="rId33" Type="http://schemas.openxmlformats.org/officeDocument/2006/relationships/hyperlink" Target="https://drive.google.com/open?id=1OP1hPRSdOrAR3cXLiyxw1o2ogy31xmuT" TargetMode="External"/><Relationship Id="rId108" Type="http://schemas.openxmlformats.org/officeDocument/2006/relationships/hyperlink" Target="https://drive.google.com/open?id=1qQa-IfAV_dLOsGZNC17MNWWzKIc7SkUQ"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5" Type="http://schemas.openxmlformats.org/officeDocument/2006/relationships/hyperlink" Target="https://drive.google.com/open?id=1ib28GsSsZ6_D2UPnN34V44_vE4lMsjT1"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61" Type="http://schemas.openxmlformats.org/officeDocument/2006/relationships/hyperlink" Target="https://drive.google.com/open?id=1iBf4CyIyl_Kn6bd5FQcqxIVLAlexu6wI" TargetMode="External"/><Relationship Id="rId182" Type="http://schemas.openxmlformats.org/officeDocument/2006/relationships/hyperlink" Target="https://drive.google.com/open?id=1cESVRqpdJjeOszcnv3Da_BgsOU8HvWdM"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5" Type="http://schemas.openxmlformats.org/officeDocument/2006/relationships/hyperlink" Target="https://drive.google.com/open?id=1po2Usoq_zwtjp4HX44MoKrgj60hav7UT"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51" Type="http://schemas.openxmlformats.org/officeDocument/2006/relationships/hyperlink" Target="https://drive.google.com/open?id=1FPvFPDgEnnypJWf0VXmV29yOAdaRKUZR" TargetMode="External"/><Relationship Id="rId172" Type="http://schemas.openxmlformats.org/officeDocument/2006/relationships/hyperlink" Target="https://drive.google.com/open?id=1JzVJLMeQukMDW8y-h87SfivUGemI6kwr" TargetMode="External"/><Relationship Id="rId193" Type="http://schemas.openxmlformats.org/officeDocument/2006/relationships/hyperlink" Target="https://drive.google.com/open?id=12_1fCYbIYsFxLMEREWMJfYoHwjfo8zSf" TargetMode="External"/><Relationship Id="rId13" Type="http://schemas.openxmlformats.org/officeDocument/2006/relationships/hyperlink" Target="https://drive.google.com/open?id=19_stumq0aaIfxRLjsrQcctleoeYxzyCD"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20" Type="http://schemas.openxmlformats.org/officeDocument/2006/relationships/hyperlink" Target="https://drive.google.com/open?id=1Vk1aFMxBIdlXyYBKm1PRsmfCVwtQMPsV" TargetMode="External"/><Relationship Id="rId141" Type="http://schemas.openxmlformats.org/officeDocument/2006/relationships/hyperlink" Target="https://drive.google.com/open?id=1wKQpc_z6296Zpf7qLkmrb96dsJw9h1ez" TargetMode="External"/><Relationship Id="rId7" Type="http://schemas.openxmlformats.org/officeDocument/2006/relationships/hyperlink" Target="https://drive.google.com/open?id=1JiROAHGcZpKBb8AYqsKEkaQIUwITYdd-" TargetMode="External"/><Relationship Id="rId162" Type="http://schemas.openxmlformats.org/officeDocument/2006/relationships/hyperlink" Target="https://drive.google.com/open?id=1bkLvpgjZFHF_EH3JYOlqWL_viViW592z" TargetMode="External"/><Relationship Id="rId183" Type="http://schemas.openxmlformats.org/officeDocument/2006/relationships/hyperlink" Target="https://drive.google.com/open?id=1i3FZTherkoIMBaWCLspoJ6BJNJLyaqHM"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157" Type="http://schemas.openxmlformats.org/officeDocument/2006/relationships/hyperlink" Target="https://drive.google.com/open?id=1QUbHfHIInppcuY4avzGQ8BoX81fsrszR" TargetMode="External"/><Relationship Id="rId178" Type="http://schemas.openxmlformats.org/officeDocument/2006/relationships/hyperlink" Target="https://drive.google.com/open?id=1SVjdL1SREykm7ChzJpenb8I47kfK1UzE"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52" Type="http://schemas.openxmlformats.org/officeDocument/2006/relationships/hyperlink" Target="https://drive.google.com/open?id=1otNSCl6WVib1dsbC8I8_nAyXRJ9qrRVm" TargetMode="External"/><Relationship Id="rId173" Type="http://schemas.openxmlformats.org/officeDocument/2006/relationships/hyperlink" Target="https://drive.google.com/open?id=1KHZKWNghcu8s60NHE0Cd7WS8HLqck28B" TargetMode="External"/><Relationship Id="rId194" Type="http://schemas.openxmlformats.org/officeDocument/2006/relationships/hyperlink" Target="https://drive.google.com/open?id=1eoQygdTcLraes4KFY9NrbNhXgsAMY6CS" TargetMode="External"/><Relationship Id="rId199" Type="http://schemas.openxmlformats.org/officeDocument/2006/relationships/hyperlink" Target="https://drive.google.com/open?id=1vuwsc2hwutUdhauSLmv04RBGPlbbjenr" TargetMode="External"/><Relationship Id="rId203" Type="http://schemas.openxmlformats.org/officeDocument/2006/relationships/hyperlink" Target="https://drive.google.com/open?id=1LFSXTgac_hRUwg3ZMW9p_4VUEozoKB3Z"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168" Type="http://schemas.openxmlformats.org/officeDocument/2006/relationships/hyperlink" Target="https://drive.google.com/open?id=1KYFrVw1pL_0Q5oqO_iS8O72xbLCBhlDg"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163" Type="http://schemas.openxmlformats.org/officeDocument/2006/relationships/hyperlink" Target="https://drive.google.com/open?id=1A1HdoZV4K2-AV-NhQvzQZXyfq2e4TI7J" TargetMode="External"/><Relationship Id="rId184" Type="http://schemas.openxmlformats.org/officeDocument/2006/relationships/hyperlink" Target="https://drive.google.com/open?id=1Ju5vTKFWsmbCWbXDH0-DKehIc1kUdVDr" TargetMode="External"/><Relationship Id="rId189" Type="http://schemas.openxmlformats.org/officeDocument/2006/relationships/hyperlink" Target="https://drive.google.com/open?id=1Jgo67AwJBKn-PzuLf_j0B0y11n39Prjv"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158" Type="http://schemas.openxmlformats.org/officeDocument/2006/relationships/hyperlink" Target="https://drive.google.com/open?id=1V9PMOnlqYqfCZoTXIqI4Jj4cEQqAC2Gi"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3" Type="http://schemas.openxmlformats.org/officeDocument/2006/relationships/hyperlink" Target="https://drive.google.com/open?id=10tliLsuE2PB_Jc-GAEJOLCkIX_U0HfhN" TargetMode="External"/><Relationship Id="rId174" Type="http://schemas.openxmlformats.org/officeDocument/2006/relationships/hyperlink" Target="https://drive.google.com/open?id=1_k81iD8sO1N3-jqZHJHpo_yONU6UPC_b" TargetMode="External"/><Relationship Id="rId179" Type="http://schemas.openxmlformats.org/officeDocument/2006/relationships/hyperlink" Target="https://drive.google.com/open?id=12LZ9p5FtvnC68vpX9IRY0k7Kt2z7ctyX" TargetMode="External"/><Relationship Id="rId195" Type="http://schemas.openxmlformats.org/officeDocument/2006/relationships/hyperlink" Target="https://drive.google.com/open?id=1ZEMVSFWl7lIlcjueJPB8r3jhcFV07qjb" TargetMode="External"/><Relationship Id="rId190" Type="http://schemas.openxmlformats.org/officeDocument/2006/relationships/hyperlink" Target="https://drive.google.com/open?id=1t0rl7ZhanneL1kDYdamFHO1ClKyQzDhu" TargetMode="External"/><Relationship Id="rId204" Type="http://schemas.openxmlformats.org/officeDocument/2006/relationships/hyperlink" Target="https://drive.google.com/open?id=111kDLoHf7xSz4Rye0Hfn_pTFULHAkIst"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164" Type="http://schemas.openxmlformats.org/officeDocument/2006/relationships/hyperlink" Target="https://drive.google.com/open?id=1PTIDd-AS6cynot9xfLospy-xuV3Vkr1A" TargetMode="External"/><Relationship Id="rId169" Type="http://schemas.openxmlformats.org/officeDocument/2006/relationships/hyperlink" Target="https://drive.google.com/open?id=1E-Gbl11mMALafzRVGS9zWvYHrsIvefWr" TargetMode="External"/><Relationship Id="rId185" Type="http://schemas.openxmlformats.org/officeDocument/2006/relationships/hyperlink" Target="https://drive.google.com/open?id=170uojWKRP6agDUOtvY7h7RA3eY8EctjO"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80" Type="http://schemas.openxmlformats.org/officeDocument/2006/relationships/hyperlink" Target="https://drive.google.com/open?id=1Gu2K57sxhqPfh1X9tDm9uMhxRJwc6BsI"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54" Type="http://schemas.openxmlformats.org/officeDocument/2006/relationships/hyperlink" Target="https://drive.google.com/open?id=1Qp5ezsgZAQ38PrHjL_3U5p91DxI5bHmh" TargetMode="External"/><Relationship Id="rId175" Type="http://schemas.openxmlformats.org/officeDocument/2006/relationships/hyperlink" Target="https://drive.google.com/open?id=18UqvbkY3KeodgQJgaRGa92vrL3i_O1pb" TargetMode="External"/><Relationship Id="rId196" Type="http://schemas.openxmlformats.org/officeDocument/2006/relationships/hyperlink" Target="https://drive.google.com/open?id=143zIjtMBlBRGuy39Zy1SCu8sN8bC_HLf" TargetMode="External"/><Relationship Id="rId200" Type="http://schemas.openxmlformats.org/officeDocument/2006/relationships/hyperlink" Target="https://drive.google.com/open?id=1tBvmHzuC4Wjp_A4FYcFp3v1-K1fB1EOk" TargetMode="Externa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 Id="rId165" Type="http://schemas.openxmlformats.org/officeDocument/2006/relationships/hyperlink" Target="https://drive.google.com/open?id=1OVqFnS5KM8dMxyy7T1aZEPfk1W1x8s1F" TargetMode="External"/><Relationship Id="rId186" Type="http://schemas.openxmlformats.org/officeDocument/2006/relationships/hyperlink" Target="https://drive.google.com/open?id=1A5zdCYMDpDZbe2cOK2q_w86m0nlqlS6y" TargetMode="External"/><Relationship Id="rId27" Type="http://schemas.openxmlformats.org/officeDocument/2006/relationships/hyperlink" Target="https://drive.google.com/open?id=1bm95wbg0W4QfOhTQ-l3iSNpuXZbayYdA" TargetMode="External"/><Relationship Id="rId48" Type="http://schemas.openxmlformats.org/officeDocument/2006/relationships/hyperlink" Target="https://drive.google.com/open?id=1vu-Eev9UKvXcT1YJ8o4Tt9Y-UNmKsclY"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34" Type="http://schemas.openxmlformats.org/officeDocument/2006/relationships/hyperlink" Target="https://drive.google.com/open?id=1MwSEkrsBBQvBBAIH6sUjmiE0-F2pEfCp" TargetMode="External"/><Relationship Id="rId80" Type="http://schemas.openxmlformats.org/officeDocument/2006/relationships/hyperlink" Target="https://drive.google.com/open?id=1Y8Cfh87znZW3suakDsP6fLxmlQ9Phsz-" TargetMode="External"/><Relationship Id="rId155" Type="http://schemas.openxmlformats.org/officeDocument/2006/relationships/hyperlink" Target="https://drive.google.com/open?id=1H08P5rlpRN_laQ_a1DAfCZydYE8kle1J" TargetMode="External"/><Relationship Id="rId176" Type="http://schemas.openxmlformats.org/officeDocument/2006/relationships/hyperlink" Target="https://drive.google.com/open?id=1HyRdfZAs5_cmlSTaVTCGJS2e-A3Si_-a" TargetMode="External"/><Relationship Id="rId197" Type="http://schemas.openxmlformats.org/officeDocument/2006/relationships/hyperlink" Target="https://drive.google.com/open?id=18iqN_nNvmsQsFAuH2O4vwZLe9hq91gh5" TargetMode="External"/><Relationship Id="rId201" Type="http://schemas.openxmlformats.org/officeDocument/2006/relationships/hyperlink" Target="https://drive.google.com/open?id=1kS62xVDRxAHj-qrD241KERePfDz5zKW8" TargetMode="External"/><Relationship Id="rId17" Type="http://schemas.openxmlformats.org/officeDocument/2006/relationships/hyperlink" Target="https://drive.google.com/open?id=1FMSZOl4jm7NCv0YV2I76OTv48kR4YjC0"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24" Type="http://schemas.openxmlformats.org/officeDocument/2006/relationships/hyperlink" Target="https://drive.google.com/open?id=16tLU2tsRGSZYpel88kvrTizbREZsrQ7x" TargetMode="External"/><Relationship Id="rId70" Type="http://schemas.openxmlformats.org/officeDocument/2006/relationships/hyperlink" Target="https://drive.google.com/open?id=1CN6XrDQMMT9mjrjBPVLl49l3NvnzY1BA" TargetMode="External"/><Relationship Id="rId91" Type="http://schemas.openxmlformats.org/officeDocument/2006/relationships/hyperlink" Target="https://drive.google.com/open?id=1lggRjpO-1vj3C15DfSKMfH4QeuUpD_tr" TargetMode="External"/><Relationship Id="rId145" Type="http://schemas.openxmlformats.org/officeDocument/2006/relationships/hyperlink" Target="https://drive.google.com/open?id=1Wskr8uc0GZARG5xMSg7mC1mqiEcPBwIx" TargetMode="External"/><Relationship Id="rId166" Type="http://schemas.openxmlformats.org/officeDocument/2006/relationships/hyperlink" Target="https://drive.google.com/open?id=1vKkd3BF0vSLMJrZVAjhV9LScvzP4jr0M" TargetMode="External"/><Relationship Id="rId187" Type="http://schemas.openxmlformats.org/officeDocument/2006/relationships/hyperlink" Target="https://drive.google.com/open?id=1hwnvV18sbklFOftopkLg9K9ph8gM_K2A" TargetMode="External"/><Relationship Id="rId1" Type="http://schemas.openxmlformats.org/officeDocument/2006/relationships/hyperlink" Target="https://drive.google.com/open?id=1eLiAAX-JitqlZ_Uy1Wtqd-BaYuer__sy"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60" Type="http://schemas.openxmlformats.org/officeDocument/2006/relationships/hyperlink" Target="https://drive.google.com/open?id=1MnC4kw_8M8wT0rlU24_dE4d_Ds8izo_E" TargetMode="External"/><Relationship Id="rId81" Type="http://schemas.openxmlformats.org/officeDocument/2006/relationships/hyperlink" Target="https://drive.google.com/open?id=1uWNsEPoQ08EeVH9plTgpasLN8u23Qn5D" TargetMode="External"/><Relationship Id="rId135" Type="http://schemas.openxmlformats.org/officeDocument/2006/relationships/hyperlink" Target="https://drive.google.com/open?id=1ifMagLDjS7-z44QC25L9EwxBgIJHujRK" TargetMode="External"/><Relationship Id="rId156" Type="http://schemas.openxmlformats.org/officeDocument/2006/relationships/hyperlink" Target="https://drive.google.com/open?id=14uxy8hUORxfoeCTanmU6qVyMCVQR5mFg" TargetMode="External"/><Relationship Id="rId177" Type="http://schemas.openxmlformats.org/officeDocument/2006/relationships/hyperlink" Target="https://drive.google.com/open?id=1pSmPYRJRf0QplqEC0KyyTvvIYPYhPtOJ" TargetMode="External"/><Relationship Id="rId198" Type="http://schemas.openxmlformats.org/officeDocument/2006/relationships/hyperlink" Target="https://drive.google.com/open?id=14XCT5GDoYrV01X7yoQluzp5OUtgah7l6" TargetMode="External"/><Relationship Id="rId202" Type="http://schemas.openxmlformats.org/officeDocument/2006/relationships/hyperlink" Target="https://drive.google.com/open?id=1Hrh8W0L8k-2x6IeBtumYCfThesBdNmHE"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50" Type="http://schemas.openxmlformats.org/officeDocument/2006/relationships/hyperlink" Target="https://drive.google.com/open?id=1NGfQlyzAFNPmEvRedGZsf2pxU2BwIdRG" TargetMode="External"/><Relationship Id="rId104" Type="http://schemas.openxmlformats.org/officeDocument/2006/relationships/hyperlink" Target="https://drive.google.com/open?id=1flZwOSfHLNBkFuA2mrKyCbnSD5a4EfU0" TargetMode="External"/><Relationship Id="rId125" Type="http://schemas.openxmlformats.org/officeDocument/2006/relationships/hyperlink" Target="https://drive.google.com/open?id=1cD1N6AEKr1vU2RtVlCAUekMeFW0jONZc" TargetMode="External"/><Relationship Id="rId146" Type="http://schemas.openxmlformats.org/officeDocument/2006/relationships/hyperlink" Target="https://drive.google.com/open?id=1qFeraJ0W0wL6xeEvbWqkxvRVd6vkiZLO" TargetMode="External"/><Relationship Id="rId167" Type="http://schemas.openxmlformats.org/officeDocument/2006/relationships/hyperlink" Target="https://drive.google.com/open?id=19WrR74n1etaBVMen-DyGV33OgXSmaz8L" TargetMode="External"/><Relationship Id="rId188" Type="http://schemas.openxmlformats.org/officeDocument/2006/relationships/hyperlink" Target="https://drive.google.com/open?id=1YA4tvvOzypDQxKSpvGyr7KS0raSthwVO"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57"/>
  <sheetViews>
    <sheetView tabSelected="1" workbookViewId="0">
      <pane ySplit="1" topLeftCell="A35" activePane="bottomLeft" state="frozen"/>
      <selection pane="bottomLeft" sqref="A1:AG57"/>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row r="44" spans="1:36" ht="15.75" customHeight="1" x14ac:dyDescent="0.25">
      <c r="A44" s="1">
        <v>46275.333339247685</v>
      </c>
      <c r="B44" s="10">
        <v>8</v>
      </c>
      <c r="C44" s="3" t="s">
        <v>385</v>
      </c>
      <c r="D44" s="3" t="s">
        <v>63</v>
      </c>
      <c r="E44" s="3" t="s">
        <v>53</v>
      </c>
      <c r="F44" s="3" t="s">
        <v>18</v>
      </c>
      <c r="G44" s="3" t="s">
        <v>18</v>
      </c>
      <c r="I44" s="3" t="s">
        <v>128</v>
      </c>
      <c r="J44" s="3" t="s">
        <v>65</v>
      </c>
      <c r="K44" s="3" t="s">
        <v>23</v>
      </c>
      <c r="L44" s="3" t="s">
        <v>386</v>
      </c>
      <c r="M44" s="3" t="s">
        <v>23</v>
      </c>
      <c r="N44" s="3" t="s">
        <v>23</v>
      </c>
      <c r="Q44" s="3" t="s">
        <v>23</v>
      </c>
      <c r="R44" s="3" t="s">
        <v>23</v>
      </c>
      <c r="S44" s="3" t="s">
        <v>387</v>
      </c>
      <c r="T44" s="3">
        <v>4</v>
      </c>
      <c r="U44" s="4" t="s">
        <v>388</v>
      </c>
      <c r="V44" s="4" t="s">
        <v>389</v>
      </c>
      <c r="W44" s="4" t="s">
        <v>390</v>
      </c>
      <c r="X44" s="4" t="s">
        <v>391</v>
      </c>
      <c r="Y44" s="3" t="s">
        <v>30</v>
      </c>
      <c r="Z44" s="3" t="s">
        <v>30</v>
      </c>
      <c r="AA44" s="3">
        <v>9</v>
      </c>
      <c r="AB44" s="3" t="s">
        <v>392</v>
      </c>
      <c r="AD44" s="3" t="s">
        <v>23</v>
      </c>
      <c r="AE44" s="3" t="s">
        <v>21</v>
      </c>
      <c r="AG44" s="3" t="s">
        <v>21</v>
      </c>
      <c r="AH44" s="15" t="str">
        <f>IFERROR(VLOOKUP(Form_Responses[[#This Row],[Nombre Técnico]],'masa de trabajo'!$B:$C,2,0),"")</f>
        <v>SI</v>
      </c>
      <c r="AI44" s="12" t="str">
        <f>VLOOKUP(Form_Responses[[#This Row],[Nombre Técnico]],'masa de trabajo'!$B:$E,3,0)</f>
        <v>SI</v>
      </c>
      <c r="AJ44" s="12" t="str">
        <f>VLOOKUP(Form_Responses[[#This Row],[Nombre Técnico]],'masa de trabajo'!$B:$E,4,0)</f>
        <v>-</v>
      </c>
    </row>
    <row r="45" spans="1:36" ht="15.75" customHeight="1" x14ac:dyDescent="0.25">
      <c r="A45" s="1">
        <v>46275.584452997689</v>
      </c>
      <c r="B45" s="10">
        <v>6</v>
      </c>
      <c r="C45" s="3" t="s">
        <v>393</v>
      </c>
      <c r="D45" s="3" t="s">
        <v>52</v>
      </c>
      <c r="E45" s="3" t="s">
        <v>53</v>
      </c>
      <c r="F45" s="3" t="s">
        <v>18</v>
      </c>
      <c r="G45" s="3" t="s">
        <v>18</v>
      </c>
      <c r="I45" s="3" t="s">
        <v>128</v>
      </c>
      <c r="J45" s="3" t="s">
        <v>20</v>
      </c>
      <c r="L45" s="3" t="s">
        <v>394</v>
      </c>
      <c r="N45" s="3" t="s">
        <v>23</v>
      </c>
      <c r="Q45" s="3" t="s">
        <v>23</v>
      </c>
      <c r="R45" s="3" t="s">
        <v>23</v>
      </c>
      <c r="S45" s="3" t="s">
        <v>395</v>
      </c>
      <c r="T45" s="3">
        <v>4</v>
      </c>
      <c r="U45" s="4" t="s">
        <v>396</v>
      </c>
      <c r="V45" s="4" t="s">
        <v>397</v>
      </c>
      <c r="W45" s="4" t="s">
        <v>398</v>
      </c>
      <c r="X45" s="4" t="s">
        <v>399</v>
      </c>
      <c r="Y45" s="3" t="s">
        <v>30</v>
      </c>
      <c r="Z45" s="3" t="s">
        <v>30</v>
      </c>
      <c r="AA45" s="3">
        <v>9</v>
      </c>
      <c r="AB45" s="3" t="s">
        <v>400</v>
      </c>
      <c r="AD45" s="3" t="s">
        <v>23</v>
      </c>
      <c r="AE45" s="3" t="s">
        <v>21</v>
      </c>
      <c r="AG45" s="3" t="s">
        <v>21</v>
      </c>
      <c r="AH45" s="15" t="str">
        <f>IFERROR(VLOOKUP(Form_Responses[[#This Row],[Nombre Técnico]],'masa de trabajo'!$B:$C,2,0),"")</f>
        <v>SI</v>
      </c>
      <c r="AI45" s="12" t="str">
        <f>VLOOKUP(Form_Responses[[#This Row],[Nombre Técnico]],'masa de trabajo'!$B:$E,3,0)</f>
        <v>-</v>
      </c>
      <c r="AJ45" s="12" t="str">
        <f>VLOOKUP(Form_Responses[[#This Row],[Nombre Técnico]],'masa de trabajo'!$B:$E,4,0)</f>
        <v>-</v>
      </c>
    </row>
    <row r="46" spans="1:36" ht="15.75" customHeight="1" x14ac:dyDescent="0.25">
      <c r="A46" s="1">
        <v>46275.784461053241</v>
      </c>
      <c r="B46" s="10">
        <v>9</v>
      </c>
      <c r="C46" s="3" t="s">
        <v>401</v>
      </c>
      <c r="D46" s="3" t="s">
        <v>84</v>
      </c>
      <c r="E46" s="3" t="s">
        <v>53</v>
      </c>
      <c r="F46" s="3" t="s">
        <v>18</v>
      </c>
      <c r="G46" s="3" t="s">
        <v>18</v>
      </c>
      <c r="I46" s="3" t="s">
        <v>19</v>
      </c>
      <c r="J46" s="3" t="s">
        <v>41</v>
      </c>
      <c r="K46" s="3" t="s">
        <v>23</v>
      </c>
      <c r="L46" s="3" t="s">
        <v>402</v>
      </c>
      <c r="M46" s="3" t="s">
        <v>23</v>
      </c>
      <c r="N46" s="3" t="s">
        <v>21</v>
      </c>
      <c r="Q46" s="3" t="s">
        <v>23</v>
      </c>
      <c r="R46" s="3" t="s">
        <v>23</v>
      </c>
      <c r="S46" s="3" t="s">
        <v>403</v>
      </c>
      <c r="T46" s="3">
        <v>4</v>
      </c>
      <c r="U46" s="4" t="s">
        <v>404</v>
      </c>
      <c r="V46" s="4" t="s">
        <v>405</v>
      </c>
      <c r="W46" s="4" t="s">
        <v>406</v>
      </c>
      <c r="X46" s="4" t="s">
        <v>407</v>
      </c>
      <c r="Y46" s="3" t="s">
        <v>30</v>
      </c>
      <c r="Z46" s="3" t="s">
        <v>30</v>
      </c>
      <c r="AA46" s="3">
        <v>9</v>
      </c>
      <c r="AB46" s="3" t="s">
        <v>408</v>
      </c>
      <c r="AC46" s="3" t="s">
        <v>23</v>
      </c>
      <c r="AD46" s="3" t="s">
        <v>23</v>
      </c>
      <c r="AE46" s="3" t="s">
        <v>21</v>
      </c>
      <c r="AF46" s="3" t="s">
        <v>23</v>
      </c>
      <c r="AG46" s="3" t="s">
        <v>21</v>
      </c>
      <c r="AH46" s="15" t="str">
        <f>IFERROR(VLOOKUP(Form_Responses[[#This Row],[Nombre Técnico]],'masa de trabajo'!$B:$C,2,0),"")</f>
        <v>SI</v>
      </c>
      <c r="AI46" s="12" t="str">
        <f>VLOOKUP(Form_Responses[[#This Row],[Nombre Técnico]],'masa de trabajo'!$B:$E,3,0)</f>
        <v>SI</v>
      </c>
      <c r="AJ46" s="12" t="str">
        <f>VLOOKUP(Form_Responses[[#This Row],[Nombre Técnico]],'masa de trabajo'!$B:$E,4,0)</f>
        <v>-</v>
      </c>
    </row>
    <row r="47" spans="1:36" ht="15.75" customHeight="1" x14ac:dyDescent="0.25">
      <c r="A47" s="1">
        <v>46279.750844733797</v>
      </c>
      <c r="B47" s="10">
        <v>8</v>
      </c>
      <c r="C47" s="3" t="s">
        <v>409</v>
      </c>
      <c r="D47" s="3" t="s">
        <v>52</v>
      </c>
      <c r="E47" s="3" t="s">
        <v>53</v>
      </c>
      <c r="F47" s="3" t="s">
        <v>18</v>
      </c>
      <c r="G47" s="3" t="s">
        <v>18</v>
      </c>
      <c r="I47" s="3" t="s">
        <v>128</v>
      </c>
      <c r="J47" s="3" t="s">
        <v>41</v>
      </c>
      <c r="K47" s="3" t="s">
        <v>23</v>
      </c>
      <c r="L47" s="3" t="s">
        <v>410</v>
      </c>
      <c r="M47" s="3" t="s">
        <v>23</v>
      </c>
      <c r="N47" s="3" t="s">
        <v>23</v>
      </c>
      <c r="P47" s="3">
        <v>1</v>
      </c>
      <c r="Q47" s="3" t="s">
        <v>23</v>
      </c>
      <c r="R47" s="3" t="s">
        <v>23</v>
      </c>
      <c r="S47" s="3" t="s">
        <v>411</v>
      </c>
      <c r="T47" s="3">
        <v>4</v>
      </c>
      <c r="U47" s="4" t="s">
        <v>412</v>
      </c>
      <c r="V47" s="4" t="s">
        <v>413</v>
      </c>
      <c r="W47" s="4" t="s">
        <v>414</v>
      </c>
      <c r="X47" s="4" t="s">
        <v>415</v>
      </c>
      <c r="Y47" s="3" t="s">
        <v>30</v>
      </c>
      <c r="Z47" s="3" t="s">
        <v>30</v>
      </c>
      <c r="AA47" s="3">
        <v>9</v>
      </c>
      <c r="AB47" s="3" t="s">
        <v>416</v>
      </c>
      <c r="AD47" s="3" t="s">
        <v>23</v>
      </c>
      <c r="AE47" s="3" t="s">
        <v>21</v>
      </c>
      <c r="AG47" s="3" t="s">
        <v>21</v>
      </c>
      <c r="AH47" s="15" t="str">
        <f>IFERROR(VLOOKUP(Form_Responses[[#This Row],[Nombre Técnico]],'masa de trabajo'!$B:$C,2,0),"")</f>
        <v>SI</v>
      </c>
      <c r="AI47" s="12" t="str">
        <f>VLOOKUP(Form_Responses[[#This Row],[Nombre Técnico]],'masa de trabajo'!$B:$E,3,0)</f>
        <v>-</v>
      </c>
      <c r="AJ47" s="12" t="str">
        <f>VLOOKUP(Form_Responses[[#This Row],[Nombre Técnico]],'masa de trabajo'!$B:$E,4,0)</f>
        <v>-</v>
      </c>
    </row>
    <row r="48" spans="1:36" ht="15.75" customHeight="1" x14ac:dyDescent="0.25">
      <c r="A48" s="1">
        <v>46280.683903900463</v>
      </c>
      <c r="B48" s="10">
        <v>7</v>
      </c>
      <c r="C48" s="3" t="s">
        <v>417</v>
      </c>
      <c r="D48" s="3" t="s">
        <v>221</v>
      </c>
      <c r="E48" s="3" t="s">
        <v>53</v>
      </c>
      <c r="F48" s="3" t="s">
        <v>18</v>
      </c>
      <c r="G48" s="3" t="s">
        <v>18</v>
      </c>
      <c r="I48" s="3" t="s">
        <v>128</v>
      </c>
      <c r="J48" s="3" t="s">
        <v>41</v>
      </c>
      <c r="K48" s="3" t="s">
        <v>23</v>
      </c>
      <c r="L48" s="3" t="s">
        <v>418</v>
      </c>
      <c r="N48" s="3" t="s">
        <v>23</v>
      </c>
      <c r="O48" s="3" t="s">
        <v>23</v>
      </c>
      <c r="P48" s="3">
        <v>1</v>
      </c>
      <c r="Q48" s="3" t="s">
        <v>23</v>
      </c>
      <c r="R48" s="3" t="s">
        <v>23</v>
      </c>
      <c r="S48" s="3" t="s">
        <v>419</v>
      </c>
      <c r="T48" s="3">
        <v>4</v>
      </c>
      <c r="U48" s="4" t="s">
        <v>420</v>
      </c>
      <c r="V48" s="4" t="s">
        <v>421</v>
      </c>
      <c r="W48" s="4" t="s">
        <v>422</v>
      </c>
      <c r="X48" s="4" t="s">
        <v>423</v>
      </c>
      <c r="Y48" s="3" t="s">
        <v>30</v>
      </c>
      <c r="Z48" s="3" t="s">
        <v>30</v>
      </c>
      <c r="AA48" s="3">
        <v>9</v>
      </c>
      <c r="AB48" s="3" t="s">
        <v>424</v>
      </c>
      <c r="AD48" s="3" t="s">
        <v>23</v>
      </c>
      <c r="AE48" s="3" t="s">
        <v>21</v>
      </c>
      <c r="AG48" s="3" t="s">
        <v>21</v>
      </c>
      <c r="AH48" s="15" t="str">
        <f>IFERROR(VLOOKUP(Form_Responses[[#This Row],[Nombre Técnico]],'masa de trabajo'!$B:$C,2,0),"")</f>
        <v>-</v>
      </c>
      <c r="AI48" s="12" t="str">
        <f>VLOOKUP(Form_Responses[[#This Row],[Nombre Técnico]],'masa de trabajo'!$B:$E,3,0)</f>
        <v>-</v>
      </c>
      <c r="AJ48" s="12" t="str">
        <f>VLOOKUP(Form_Responses[[#This Row],[Nombre Técnico]],'masa de trabajo'!$B:$E,4,0)</f>
        <v>-</v>
      </c>
    </row>
    <row r="49" spans="1:36" ht="15.75" customHeight="1" x14ac:dyDescent="0.25">
      <c r="A49" s="1">
        <v>46281.319375243052</v>
      </c>
      <c r="B49" s="10">
        <v>7</v>
      </c>
      <c r="C49" s="3" t="s">
        <v>425</v>
      </c>
      <c r="D49" s="3" t="s">
        <v>143</v>
      </c>
      <c r="E49" s="3" t="s">
        <v>53</v>
      </c>
      <c r="F49" s="3" t="s">
        <v>18</v>
      </c>
      <c r="G49" s="3" t="s">
        <v>18</v>
      </c>
      <c r="I49" s="3" t="s">
        <v>19</v>
      </c>
      <c r="J49" s="3" t="s">
        <v>41</v>
      </c>
      <c r="L49" s="3" t="s">
        <v>426</v>
      </c>
      <c r="N49" s="3" t="s">
        <v>23</v>
      </c>
      <c r="Q49" s="3" t="s">
        <v>23</v>
      </c>
      <c r="R49" s="3" t="s">
        <v>23</v>
      </c>
      <c r="S49" s="3" t="s">
        <v>427</v>
      </c>
      <c r="T49" s="3">
        <v>4</v>
      </c>
      <c r="U49" s="4" t="s">
        <v>428</v>
      </c>
      <c r="V49" s="4" t="s">
        <v>429</v>
      </c>
      <c r="W49" s="4" t="s">
        <v>430</v>
      </c>
      <c r="X49" s="4" t="s">
        <v>431</v>
      </c>
      <c r="Y49" s="3" t="s">
        <v>30</v>
      </c>
      <c r="Z49" s="3" t="s">
        <v>30</v>
      </c>
      <c r="AA49" s="3">
        <v>9</v>
      </c>
      <c r="AB49" s="3" t="s">
        <v>384</v>
      </c>
      <c r="AC49" s="3" t="s">
        <v>77</v>
      </c>
      <c r="AD49" s="3" t="s">
        <v>23</v>
      </c>
      <c r="AE49" s="3" t="s">
        <v>21</v>
      </c>
      <c r="AF49" s="3" t="s">
        <v>23</v>
      </c>
      <c r="AG49" s="3" t="s">
        <v>21</v>
      </c>
      <c r="AH49" s="15" t="str">
        <f>IFERROR(VLOOKUP(Form_Responses[[#This Row],[Nombre Técnico]],'masa de trabajo'!$B:$C,2,0),"")</f>
        <v>-</v>
      </c>
      <c r="AI49" s="12" t="str">
        <f>VLOOKUP(Form_Responses[[#This Row],[Nombre Técnico]],'masa de trabajo'!$B:$E,3,0)</f>
        <v>-</v>
      </c>
      <c r="AJ49" s="12" t="str">
        <f>VLOOKUP(Form_Responses[[#This Row],[Nombre Técnico]],'masa de trabajo'!$B:$E,4,0)</f>
        <v>-</v>
      </c>
    </row>
    <row r="50" spans="1:36" ht="15.75" customHeight="1" x14ac:dyDescent="0.25">
      <c r="A50" s="1">
        <v>46287.316370625005</v>
      </c>
      <c r="B50" s="10">
        <v>9</v>
      </c>
      <c r="C50" s="3" t="s">
        <v>432</v>
      </c>
      <c r="D50" s="3" t="s">
        <v>52</v>
      </c>
      <c r="E50" s="3" t="s">
        <v>53</v>
      </c>
      <c r="F50" s="3" t="s">
        <v>18</v>
      </c>
      <c r="G50" s="3" t="s">
        <v>18</v>
      </c>
      <c r="I50" s="3" t="s">
        <v>19</v>
      </c>
      <c r="J50" s="3" t="s">
        <v>20</v>
      </c>
      <c r="K50" s="3" t="s">
        <v>23</v>
      </c>
      <c r="L50" s="3" t="s">
        <v>433</v>
      </c>
      <c r="N50" s="3" t="s">
        <v>23</v>
      </c>
      <c r="O50" s="3" t="s">
        <v>21</v>
      </c>
      <c r="P50" s="3">
        <v>2</v>
      </c>
      <c r="Q50" s="3" t="s">
        <v>23</v>
      </c>
      <c r="R50" s="3" t="s">
        <v>23</v>
      </c>
      <c r="T50" s="3">
        <v>4</v>
      </c>
      <c r="U50" s="4" t="s">
        <v>434</v>
      </c>
      <c r="V50" s="4" t="s">
        <v>435</v>
      </c>
      <c r="X50" s="4" t="s">
        <v>436</v>
      </c>
      <c r="Y50" s="3" t="s">
        <v>30</v>
      </c>
      <c r="Z50" s="3" t="s">
        <v>30</v>
      </c>
      <c r="AA50" s="3">
        <v>9</v>
      </c>
      <c r="AB50" s="3" t="s">
        <v>437</v>
      </c>
      <c r="AC50" s="3" t="s">
        <v>23</v>
      </c>
      <c r="AD50" s="3" t="s">
        <v>23</v>
      </c>
      <c r="AE50" s="3" t="s">
        <v>21</v>
      </c>
      <c r="AF50" s="3" t="s">
        <v>23</v>
      </c>
      <c r="AG50" s="3" t="s">
        <v>21</v>
      </c>
      <c r="AH50" s="15" t="str">
        <f>IFERROR(VLOOKUP(Form_Responses[[#This Row],[Nombre Técnico]],'masa de trabajo'!$B:$C,2,0),"")</f>
        <v>SI</v>
      </c>
      <c r="AI50" s="12" t="str">
        <f>VLOOKUP(Form_Responses[[#This Row],[Nombre Técnico]],'masa de trabajo'!$B:$E,3,0)</f>
        <v>-</v>
      </c>
      <c r="AJ50" s="12" t="str">
        <f>VLOOKUP(Form_Responses[[#This Row],[Nombre Técnico]],'masa de trabajo'!$B:$E,4,0)</f>
        <v>-</v>
      </c>
    </row>
    <row r="51" spans="1:36" ht="15.75" customHeight="1" x14ac:dyDescent="0.25">
      <c r="A51" s="1">
        <v>46287.763552685181</v>
      </c>
      <c r="B51" s="10">
        <v>6</v>
      </c>
      <c r="C51" s="3" t="s">
        <v>438</v>
      </c>
      <c r="D51" s="3" t="s">
        <v>109</v>
      </c>
      <c r="E51" s="3" t="s">
        <v>53</v>
      </c>
      <c r="F51" s="3" t="s">
        <v>18</v>
      </c>
      <c r="G51" s="3" t="s">
        <v>18</v>
      </c>
      <c r="I51" s="3" t="s">
        <v>128</v>
      </c>
      <c r="J51" s="3" t="s">
        <v>20</v>
      </c>
      <c r="K51" s="3" t="s">
        <v>23</v>
      </c>
      <c r="L51" s="3" t="s">
        <v>439</v>
      </c>
      <c r="M51" s="3" t="s">
        <v>23</v>
      </c>
      <c r="N51" s="3" t="s">
        <v>21</v>
      </c>
      <c r="P51" s="3">
        <v>2</v>
      </c>
      <c r="Q51" s="3" t="s">
        <v>23</v>
      </c>
      <c r="R51" s="3" t="s">
        <v>23</v>
      </c>
      <c r="S51" s="3" t="s">
        <v>440</v>
      </c>
      <c r="T51" s="3">
        <v>4</v>
      </c>
      <c r="U51" s="4" t="s">
        <v>441</v>
      </c>
      <c r="V51" s="4" t="s">
        <v>442</v>
      </c>
      <c r="W51" s="4" t="s">
        <v>443</v>
      </c>
      <c r="X51" s="4" t="s">
        <v>444</v>
      </c>
      <c r="Y51" s="3" t="s">
        <v>30</v>
      </c>
      <c r="Z51" s="3" t="s">
        <v>72</v>
      </c>
      <c r="AA51" s="3">
        <v>9</v>
      </c>
      <c r="AB51" s="3" t="s">
        <v>445</v>
      </c>
      <c r="AD51" s="3" t="s">
        <v>23</v>
      </c>
      <c r="AE51" s="3" t="s">
        <v>21</v>
      </c>
      <c r="AG51" s="3" t="s">
        <v>21</v>
      </c>
      <c r="AH51" s="15" t="str">
        <f>IFERROR(VLOOKUP(Form_Responses[[#This Row],[Nombre Técnico]],'masa de trabajo'!$B:$C,2,0),"")</f>
        <v>-</v>
      </c>
      <c r="AI51" s="12" t="str">
        <f>VLOOKUP(Form_Responses[[#This Row],[Nombre Técnico]],'masa de trabajo'!$B:$E,3,0)</f>
        <v>-</v>
      </c>
      <c r="AJ51" s="12" t="str">
        <f>VLOOKUP(Form_Responses[[#This Row],[Nombre Técnico]],'masa de trabajo'!$B:$E,4,0)</f>
        <v>-</v>
      </c>
    </row>
    <row r="52" spans="1:36" ht="15.75" customHeight="1" x14ac:dyDescent="0.25">
      <c r="A52" s="1">
        <v>46287.95001443287</v>
      </c>
      <c r="B52" s="10">
        <v>10</v>
      </c>
      <c r="C52" s="3" t="s">
        <v>446</v>
      </c>
      <c r="D52" s="3" t="s">
        <v>33</v>
      </c>
      <c r="E52" s="3" t="s">
        <v>17</v>
      </c>
      <c r="F52" s="3" t="s">
        <v>18</v>
      </c>
      <c r="G52" s="3" t="s">
        <v>18</v>
      </c>
      <c r="I52" s="3" t="s">
        <v>19</v>
      </c>
      <c r="J52" s="3" t="s">
        <v>20</v>
      </c>
      <c r="K52" s="3" t="s">
        <v>23</v>
      </c>
      <c r="L52" s="3" t="s">
        <v>447</v>
      </c>
      <c r="M52" s="3" t="s">
        <v>23</v>
      </c>
      <c r="N52" s="3" t="s">
        <v>23</v>
      </c>
      <c r="Q52" s="3" t="s">
        <v>23</v>
      </c>
      <c r="R52" s="3" t="s">
        <v>23</v>
      </c>
      <c r="S52" s="3" t="s">
        <v>448</v>
      </c>
      <c r="T52" s="3">
        <v>4</v>
      </c>
      <c r="U52" s="4" t="s">
        <v>449</v>
      </c>
      <c r="V52" s="4" t="s">
        <v>450</v>
      </c>
      <c r="W52" s="4" t="s">
        <v>451</v>
      </c>
      <c r="X52" s="4" t="s">
        <v>452</v>
      </c>
      <c r="Y52" s="3" t="s">
        <v>30</v>
      </c>
      <c r="Z52" s="3" t="s">
        <v>30</v>
      </c>
      <c r="AA52" s="3">
        <v>7</v>
      </c>
      <c r="AB52" s="3" t="s">
        <v>453</v>
      </c>
      <c r="AC52" s="3" t="s">
        <v>23</v>
      </c>
      <c r="AD52" s="3" t="s">
        <v>23</v>
      </c>
      <c r="AE52" s="3" t="s">
        <v>21</v>
      </c>
      <c r="AF52" s="3" t="s">
        <v>23</v>
      </c>
      <c r="AG52" s="3" t="s">
        <v>21</v>
      </c>
      <c r="AH52" s="15" t="str">
        <f>IFERROR(VLOOKUP(Form_Responses[[#This Row],[Nombre Técnico]],'masa de trabajo'!$B:$C,2,0),"")</f>
        <v>SI</v>
      </c>
      <c r="AI52" s="12" t="str">
        <f>VLOOKUP(Form_Responses[[#This Row],[Nombre Técnico]],'masa de trabajo'!$B:$E,3,0)</f>
        <v>SI</v>
      </c>
      <c r="AJ52" s="12" t="str">
        <f>VLOOKUP(Form_Responses[[#This Row],[Nombre Técnico]],'masa de trabajo'!$B:$E,4,0)</f>
        <v>Auque se nota una mejora, se realizara evantualemete seguimiento a los trabajos</v>
      </c>
    </row>
    <row r="53" spans="1:36" ht="15.75" customHeight="1" x14ac:dyDescent="0.25">
      <c r="A53" s="1">
        <v>46287.957272013889</v>
      </c>
      <c r="B53" s="10">
        <v>7</v>
      </c>
      <c r="C53" s="3" t="s">
        <v>454</v>
      </c>
      <c r="D53" s="3" t="s">
        <v>16</v>
      </c>
      <c r="E53" s="3" t="s">
        <v>17</v>
      </c>
      <c r="F53" s="3" t="s">
        <v>18</v>
      </c>
      <c r="G53" s="3" t="s">
        <v>18</v>
      </c>
      <c r="I53" s="3" t="s">
        <v>19</v>
      </c>
      <c r="J53" s="3" t="s">
        <v>65</v>
      </c>
      <c r="L53" s="3" t="s">
        <v>455</v>
      </c>
      <c r="N53" s="3" t="s">
        <v>23</v>
      </c>
      <c r="Q53" s="3" t="s">
        <v>23</v>
      </c>
      <c r="R53" s="3" t="s">
        <v>23</v>
      </c>
      <c r="S53" s="3" t="s">
        <v>456</v>
      </c>
      <c r="T53" s="3">
        <v>3</v>
      </c>
      <c r="U53" s="4" t="s">
        <v>457</v>
      </c>
      <c r="V53" s="4" t="s">
        <v>458</v>
      </c>
      <c r="W53" s="4" t="s">
        <v>459</v>
      </c>
      <c r="X53" s="4" t="s">
        <v>460</v>
      </c>
      <c r="Y53" s="3" t="s">
        <v>30</v>
      </c>
      <c r="Z53" s="3" t="s">
        <v>30</v>
      </c>
      <c r="AA53" s="3">
        <v>6</v>
      </c>
      <c r="AB53" s="3" t="s">
        <v>461</v>
      </c>
      <c r="AC53" s="3" t="s">
        <v>23</v>
      </c>
      <c r="AF53" s="3" t="s">
        <v>23</v>
      </c>
      <c r="AH53" s="15" t="str">
        <f>IFERROR(VLOOKUP(Form_Responses[[#This Row],[Nombre Técnico]],'masa de trabajo'!$B:$C,2,0),"")</f>
        <v>SI</v>
      </c>
      <c r="AI53" s="12" t="str">
        <f>VLOOKUP(Form_Responses[[#This Row],[Nombre Técnico]],'masa de trabajo'!$B:$E,3,0)</f>
        <v>SI</v>
      </c>
      <c r="AJ53" s="12" t="str">
        <f>VLOOKUP(Form_Responses[[#This Row],[Nombre Técnico]],'masa de trabajo'!$B:$E,4,0)</f>
        <v>-</v>
      </c>
    </row>
    <row r="54" spans="1:36" ht="15.75" customHeight="1" x14ac:dyDescent="0.25">
      <c r="A54" s="1">
        <v>46287.965805486107</v>
      </c>
      <c r="B54" s="10">
        <v>10</v>
      </c>
      <c r="C54" s="3" t="s">
        <v>462</v>
      </c>
      <c r="D54" s="3" t="s">
        <v>101</v>
      </c>
      <c r="E54" s="3" t="s">
        <v>17</v>
      </c>
      <c r="F54" s="3" t="s">
        <v>18</v>
      </c>
      <c r="G54" s="3" t="s">
        <v>18</v>
      </c>
      <c r="I54" s="3" t="s">
        <v>128</v>
      </c>
      <c r="J54" s="3" t="s">
        <v>41</v>
      </c>
      <c r="K54" s="3" t="s">
        <v>23</v>
      </c>
      <c r="L54" s="3" t="s">
        <v>463</v>
      </c>
      <c r="M54" s="3" t="s">
        <v>23</v>
      </c>
      <c r="N54" s="3" t="s">
        <v>23</v>
      </c>
      <c r="P54" s="3">
        <v>3</v>
      </c>
      <c r="Q54" s="3" t="s">
        <v>23</v>
      </c>
      <c r="R54" s="3" t="s">
        <v>23</v>
      </c>
      <c r="S54" s="3" t="s">
        <v>464</v>
      </c>
      <c r="T54" s="3">
        <v>3</v>
      </c>
      <c r="U54" s="4" t="s">
        <v>465</v>
      </c>
      <c r="V54" s="4" t="s">
        <v>466</v>
      </c>
      <c r="W54" s="4" t="s">
        <v>467</v>
      </c>
      <c r="X54" s="4" t="s">
        <v>468</v>
      </c>
      <c r="Y54" s="3" t="s">
        <v>30</v>
      </c>
      <c r="Z54" s="3" t="s">
        <v>30</v>
      </c>
      <c r="AA54" s="3">
        <v>6</v>
      </c>
      <c r="AB54" s="3" t="s">
        <v>453</v>
      </c>
      <c r="AC54" s="3" t="s">
        <v>23</v>
      </c>
      <c r="AD54" s="3" t="s">
        <v>23</v>
      </c>
      <c r="AE54" s="3" t="s">
        <v>21</v>
      </c>
      <c r="AF54" s="3" t="s">
        <v>23</v>
      </c>
      <c r="AG54" s="3" t="s">
        <v>21</v>
      </c>
      <c r="AH54" s="15" t="str">
        <f>IFERROR(VLOOKUP(Form_Responses[[#This Row],[Nombre Técnico]],'masa de trabajo'!$B:$C,2,0),"")</f>
        <v>SI</v>
      </c>
      <c r="AI54" s="12" t="str">
        <f>VLOOKUP(Form_Responses[[#This Row],[Nombre Técnico]],'masa de trabajo'!$B:$E,3,0)</f>
        <v>SI</v>
      </c>
      <c r="AJ54" s="12" t="str">
        <f>VLOOKUP(Form_Responses[[#This Row],[Nombre Técnico]],'masa de trabajo'!$B:$E,4,0)</f>
        <v>-</v>
      </c>
    </row>
    <row r="55" spans="1:36" ht="15.75" customHeight="1" x14ac:dyDescent="0.25">
      <c r="A55" s="1">
        <v>46287.972631261575</v>
      </c>
      <c r="B55" s="10">
        <v>10</v>
      </c>
      <c r="C55" s="3" t="s">
        <v>469</v>
      </c>
      <c r="D55" s="3" t="s">
        <v>348</v>
      </c>
      <c r="E55" s="3" t="s">
        <v>17</v>
      </c>
      <c r="F55" s="3" t="s">
        <v>18</v>
      </c>
      <c r="G55" s="3" t="s">
        <v>18</v>
      </c>
      <c r="I55" s="3" t="s">
        <v>19</v>
      </c>
      <c r="J55" s="3" t="s">
        <v>41</v>
      </c>
      <c r="K55" s="3" t="s">
        <v>23</v>
      </c>
      <c r="L55" s="3" t="s">
        <v>470</v>
      </c>
      <c r="M55" s="3" t="s">
        <v>23</v>
      </c>
      <c r="N55" s="3" t="s">
        <v>23</v>
      </c>
      <c r="P55" s="3">
        <v>1</v>
      </c>
      <c r="Q55" s="3" t="s">
        <v>23</v>
      </c>
      <c r="R55" s="3" t="s">
        <v>23</v>
      </c>
      <c r="S55" s="3" t="s">
        <v>471</v>
      </c>
      <c r="T55" s="3">
        <v>3</v>
      </c>
      <c r="U55" s="4" t="s">
        <v>472</v>
      </c>
      <c r="V55" s="4" t="s">
        <v>473</v>
      </c>
      <c r="W55" s="4" t="s">
        <v>474</v>
      </c>
      <c r="X55" s="4" t="s">
        <v>475</v>
      </c>
      <c r="Y55" s="3" t="s">
        <v>30</v>
      </c>
      <c r="Z55" s="3" t="s">
        <v>30</v>
      </c>
      <c r="AA55" s="3">
        <v>7</v>
      </c>
      <c r="AB55" s="3" t="s">
        <v>476</v>
      </c>
      <c r="AC55" s="3" t="s">
        <v>23</v>
      </c>
      <c r="AD55" s="3" t="s">
        <v>23</v>
      </c>
      <c r="AE55" s="3" t="s">
        <v>21</v>
      </c>
      <c r="AF55" s="3" t="s">
        <v>23</v>
      </c>
      <c r="AG55" s="3" t="s">
        <v>21</v>
      </c>
      <c r="AH55" s="15" t="str">
        <f>IFERROR(VLOOKUP(Form_Responses[[#This Row],[Nombre Técnico]],'masa de trabajo'!$B:$C,2,0),"")</f>
        <v>-</v>
      </c>
      <c r="AI55" s="12" t="str">
        <f>VLOOKUP(Form_Responses[[#This Row],[Nombre Técnico]],'masa de trabajo'!$B:$E,3,0)</f>
        <v>-</v>
      </c>
      <c r="AJ55" s="12" t="str">
        <f>VLOOKUP(Form_Responses[[#This Row],[Nombre Técnico]],'masa de trabajo'!$B:$E,4,0)</f>
        <v>-</v>
      </c>
    </row>
    <row r="56" spans="1:36" ht="15.75" customHeight="1" x14ac:dyDescent="0.25">
      <c r="A56" s="1">
        <v>46288.718068784721</v>
      </c>
      <c r="B56" s="10">
        <v>7</v>
      </c>
      <c r="C56" s="3" t="s">
        <v>477</v>
      </c>
      <c r="D56" s="3" t="s">
        <v>253</v>
      </c>
      <c r="E56" s="3" t="s">
        <v>53</v>
      </c>
      <c r="F56" s="3" t="s">
        <v>18</v>
      </c>
      <c r="G56" s="3" t="s">
        <v>18</v>
      </c>
      <c r="I56" s="3" t="s">
        <v>19</v>
      </c>
      <c r="J56" s="3" t="s">
        <v>20</v>
      </c>
      <c r="K56" s="3" t="s">
        <v>23</v>
      </c>
      <c r="L56" s="3" t="s">
        <v>478</v>
      </c>
      <c r="M56" s="3" t="s">
        <v>21</v>
      </c>
      <c r="N56" s="3" t="s">
        <v>21</v>
      </c>
      <c r="P56" s="3">
        <v>1</v>
      </c>
      <c r="Q56" s="3" t="s">
        <v>23</v>
      </c>
      <c r="R56" s="3" t="s">
        <v>23</v>
      </c>
      <c r="S56" s="3" t="s">
        <v>479</v>
      </c>
      <c r="T56" s="3">
        <v>4</v>
      </c>
      <c r="U56" s="4" t="s">
        <v>480</v>
      </c>
      <c r="V56" s="4" t="s">
        <v>481</v>
      </c>
      <c r="W56" s="4" t="s">
        <v>482</v>
      </c>
      <c r="X56" s="4" t="s">
        <v>483</v>
      </c>
      <c r="Y56" s="3" t="s">
        <v>30</v>
      </c>
      <c r="Z56" s="3" t="s">
        <v>30</v>
      </c>
      <c r="AA56" s="3">
        <v>8</v>
      </c>
      <c r="AB56" s="3" t="s">
        <v>484</v>
      </c>
      <c r="AC56" s="3" t="s">
        <v>77</v>
      </c>
      <c r="AD56" s="3" t="s">
        <v>23</v>
      </c>
      <c r="AE56" s="3" t="s">
        <v>21</v>
      </c>
      <c r="AF56" s="3" t="s">
        <v>23</v>
      </c>
      <c r="AG56" s="3" t="s">
        <v>21</v>
      </c>
      <c r="AH56" s="15" t="str">
        <f>IFERROR(VLOOKUP(Form_Responses[[#This Row],[Nombre Técnico]],'masa de trabajo'!$B:$C,2,0),"")</f>
        <v>SI</v>
      </c>
      <c r="AI56" s="12" t="str">
        <f>VLOOKUP(Form_Responses[[#This Row],[Nombre Técnico]],'masa de trabajo'!$B:$E,3,0)</f>
        <v>SI</v>
      </c>
      <c r="AJ56" s="12" t="str">
        <f>VLOOKUP(Form_Responses[[#This Row],[Nombre Técnico]],'masa de trabajo'!$B:$E,4,0)</f>
        <v>-</v>
      </c>
    </row>
    <row r="57" spans="1:36" ht="15.75" customHeight="1" x14ac:dyDescent="0.25">
      <c r="A57" s="1">
        <v>46289.385532581015</v>
      </c>
      <c r="B57" s="10">
        <v>8</v>
      </c>
      <c r="C57" s="3" t="s">
        <v>485</v>
      </c>
      <c r="D57" s="3" t="s">
        <v>277</v>
      </c>
      <c r="E57" s="3" t="s">
        <v>53</v>
      </c>
      <c r="F57" s="3" t="s">
        <v>18</v>
      </c>
      <c r="G57" s="3" t="s">
        <v>18</v>
      </c>
      <c r="I57" s="3" t="s">
        <v>19</v>
      </c>
      <c r="J57" s="3" t="s">
        <v>20</v>
      </c>
      <c r="L57" s="3" t="s">
        <v>486</v>
      </c>
      <c r="N57" s="3" t="s">
        <v>23</v>
      </c>
      <c r="P57" s="3">
        <v>1</v>
      </c>
      <c r="Q57" s="3" t="s">
        <v>23</v>
      </c>
      <c r="R57" s="3" t="s">
        <v>23</v>
      </c>
      <c r="S57" s="3" t="s">
        <v>487</v>
      </c>
      <c r="T57" s="3">
        <v>4</v>
      </c>
      <c r="U57" s="4" t="s">
        <v>488</v>
      </c>
      <c r="V57" s="4" t="s">
        <v>489</v>
      </c>
      <c r="W57" s="4" t="s">
        <v>490</v>
      </c>
      <c r="X57" s="4" t="s">
        <v>491</v>
      </c>
      <c r="Y57" s="3" t="s">
        <v>30</v>
      </c>
      <c r="Z57" s="3" t="s">
        <v>30</v>
      </c>
      <c r="AA57" s="3">
        <v>9</v>
      </c>
      <c r="AB57" s="3" t="s">
        <v>492</v>
      </c>
      <c r="AC57" s="3" t="s">
        <v>23</v>
      </c>
      <c r="AD57" s="3" t="s">
        <v>23</v>
      </c>
      <c r="AE57" s="3" t="s">
        <v>21</v>
      </c>
      <c r="AF57" s="3" t="s">
        <v>23</v>
      </c>
      <c r="AG57" s="3" t="s">
        <v>21</v>
      </c>
      <c r="AH57" s="15" t="str">
        <f>IFERROR(VLOOKUP(Form_Responses[[#This Row],[Nombre Técnico]],'masa de trabajo'!$B:$C,2,0),"")</f>
        <v>SI</v>
      </c>
      <c r="AI57" s="12" t="str">
        <f>VLOOKUP(Form_Responses[[#This Row],[Nombre Técnico]],'masa de trabajo'!$B:$E,3,0)</f>
        <v>-</v>
      </c>
      <c r="AJ57" s="12" t="str">
        <f>VLOOKUP(Form_Responses[[#This Row],[Nombre Técnico]],'masa de trabajo'!$B:$E,4,0)</f>
        <v>-</v>
      </c>
    </row>
  </sheetData>
  <phoneticPr fontId="5" type="noConversion"/>
  <hyperlinks>
    <hyperlink ref="U2" r:id="rId1" xr:uid="{E8979444-689B-46FD-AE53-A0F191F7B8B9}"/>
    <hyperlink ref="V2" r:id="rId2" xr:uid="{F8D7F6A2-35EB-4DB8-A8EA-D640C170ECC6}"/>
    <hyperlink ref="W2" r:id="rId3" xr:uid="{7A5A9C7B-59F3-458B-B1C9-A326F28DF9A0}"/>
    <hyperlink ref="X2" r:id="rId4" xr:uid="{449483E9-043E-4E85-9273-EBAA2CB9239D}"/>
    <hyperlink ref="U3" r:id="rId5" xr:uid="{46912D59-606A-4C2D-923C-DC353FA71AE1}"/>
    <hyperlink ref="V3" r:id="rId6" xr:uid="{EEDBC9E1-AEF4-497D-827D-F3B7F19188B2}"/>
    <hyperlink ref="X3" r:id="rId7" xr:uid="{A85CEE9F-9C04-4E93-8A86-9CD00D3AC51C}"/>
    <hyperlink ref="U4" r:id="rId8" xr:uid="{6E1A4C31-1F89-4E4F-86BD-5B948D58575A}"/>
    <hyperlink ref="V4" r:id="rId9" xr:uid="{93A1CC50-0551-490B-9915-E8A72AE1ED80}"/>
    <hyperlink ref="X4" r:id="rId10" xr:uid="{99A3065B-8C15-4814-AEC9-2CCD9459FBC9}"/>
    <hyperlink ref="U5" r:id="rId11" xr:uid="{B1C7ED3E-A89B-48BB-A4E2-145DAFBFCA93}"/>
    <hyperlink ref="V5" r:id="rId12" xr:uid="{B589C07D-375D-40E5-A150-BF572C922D49}"/>
    <hyperlink ref="W5" r:id="rId13" xr:uid="{C65BF8DA-CE21-4734-9DC0-6A973D254756}"/>
    <hyperlink ref="X5" r:id="rId14" xr:uid="{CAA2DBE7-4418-4644-A99B-2F2695443019}"/>
    <hyperlink ref="U6" r:id="rId15" xr:uid="{2A6711D3-5A7E-45A2-820B-4D92E5F7A801}"/>
    <hyperlink ref="V6" r:id="rId16" xr:uid="{1CA3E102-268C-43AB-9C4C-E1E16BC85172}"/>
    <hyperlink ref="W6" r:id="rId17" xr:uid="{7C3470AF-9F8A-4539-8420-318AC884E9C2}"/>
    <hyperlink ref="X6" r:id="rId18" xr:uid="{A88FC652-AB51-4213-8029-6A244EDC0298}"/>
    <hyperlink ref="U7" r:id="rId19" xr:uid="{2245B3C1-7466-4AC5-BA51-23C5049F9731}"/>
    <hyperlink ref="V7" r:id="rId20" xr:uid="{589D5664-6758-4CB1-A701-ABC70E018AD2}"/>
    <hyperlink ref="X7" r:id="rId21" xr:uid="{C1764CCD-CAFB-46AB-851F-CF8060C8FCD8}"/>
    <hyperlink ref="U8" r:id="rId22" xr:uid="{0A841368-D65D-401E-8C68-3EF0DD797298}"/>
    <hyperlink ref="V8" r:id="rId23" xr:uid="{2FFCBA85-C703-46C4-9636-FC98F15D1731}"/>
    <hyperlink ref="W8" r:id="rId24" xr:uid="{FA2993EC-B051-49C4-BFB4-1DBF3DAE8FA2}"/>
    <hyperlink ref="X8" r:id="rId25" xr:uid="{21B61C6F-32C9-474F-B54A-668502129CCC}"/>
    <hyperlink ref="U9" r:id="rId26" xr:uid="{CD455A92-EC6F-433C-B31A-54CA55B61D93}"/>
    <hyperlink ref="V9" r:id="rId27" xr:uid="{2456CF8B-B340-4ABC-94F4-9B366D6236E6}"/>
    <hyperlink ref="W9" r:id="rId28" xr:uid="{10559507-3CDD-4001-BDDF-3F25141D432C}"/>
    <hyperlink ref="X9" r:id="rId29" xr:uid="{57F7C9B8-23A5-43F2-90EF-2F19B34EBD80}"/>
    <hyperlink ref="U10" r:id="rId30" xr:uid="{FE549301-990C-401E-B5E3-77CD5D35588F}"/>
    <hyperlink ref="V10" r:id="rId31" xr:uid="{46661D3B-E759-4EFB-8109-169A82B6C893}"/>
    <hyperlink ref="X10" r:id="rId32" xr:uid="{D5804800-7891-4DA1-83E8-F5EC47A07D89}"/>
    <hyperlink ref="U11" r:id="rId33" xr:uid="{CA690510-6A93-4917-A603-2483D61F1F2A}"/>
    <hyperlink ref="V11" r:id="rId34" xr:uid="{62221443-351F-40FD-B6D1-DF357082A9CF}"/>
    <hyperlink ref="W11" r:id="rId35" xr:uid="{C254A952-A5BF-4D54-923D-6C64770DECC2}"/>
    <hyperlink ref="X11" r:id="rId36" xr:uid="{FB1F47D7-AFFE-40C0-B8C2-9A47D2054412}"/>
    <hyperlink ref="U13" r:id="rId37" xr:uid="{754912EF-A1E3-4D78-9274-5897DFCA9B6C}"/>
    <hyperlink ref="V13" r:id="rId38" xr:uid="{6E1922D7-2A54-4F8C-A8AF-33DD80B05899}"/>
    <hyperlink ref="W13" r:id="rId39" xr:uid="{0ECFFE20-03CA-4E26-A63F-2C4CB8221088}"/>
    <hyperlink ref="X13" r:id="rId40" xr:uid="{951A3A4B-513B-4472-AC77-AE462B6E4EA6}"/>
    <hyperlink ref="W14" r:id="rId41" xr:uid="{ADD87A42-59D9-4E36-A416-106A3CDC52B5}"/>
    <hyperlink ref="X14" r:id="rId42" xr:uid="{2FCC7FDE-AE45-46FE-83AA-8EF9A13C6689}"/>
    <hyperlink ref="U15" r:id="rId43" xr:uid="{0F107D39-F717-4F01-8914-61C8E9807A09}"/>
    <hyperlink ref="V15" r:id="rId44" xr:uid="{ADF61232-4188-432D-B5C9-04AC13A6FBF8}"/>
    <hyperlink ref="X15" r:id="rId45" xr:uid="{36C843B9-8E23-4C51-9E2F-A47ED1A28111}"/>
    <hyperlink ref="U16" r:id="rId46" xr:uid="{B2FCAB42-F544-4394-A143-F06A3F4D4667}"/>
    <hyperlink ref="V16" r:id="rId47" xr:uid="{8176292D-FCAE-4DF0-A3BD-17A8A0569538}"/>
    <hyperlink ref="W16" r:id="rId48" xr:uid="{0E2E9B59-6AFF-48D6-84EC-83D2CB008134}"/>
    <hyperlink ref="X16" r:id="rId49" xr:uid="{871F9680-02F1-4423-AE87-9E540CD4CAA5}"/>
    <hyperlink ref="U17" r:id="rId50" xr:uid="{671CB1E9-5159-4647-8F88-065BA4C36DF1}"/>
    <hyperlink ref="V17" r:id="rId51" xr:uid="{F27B9EF5-5DE8-4B06-B42D-09B222B447E2}"/>
    <hyperlink ref="X17" r:id="rId52" xr:uid="{06881458-EC0D-4302-A3F4-55204476B18C}"/>
    <hyperlink ref="U18" r:id="rId53" xr:uid="{FF55B8AE-1563-4592-8125-646860499571}"/>
    <hyperlink ref="V18" r:id="rId54" xr:uid="{34FA7B71-9553-417D-85F6-8523E6582C8F}"/>
    <hyperlink ref="W18" r:id="rId55" xr:uid="{1181A831-CE3C-4D7C-8A94-ACEF9A244A10}"/>
    <hyperlink ref="X18" r:id="rId56" xr:uid="{FDC33755-A3A1-4449-840B-BBCDBEC341A8}"/>
    <hyperlink ref="U19" r:id="rId57" xr:uid="{CDF55054-61E4-49B3-BD00-AE72C07AE14A}"/>
    <hyperlink ref="V19" r:id="rId58" xr:uid="{557285A0-B87F-4B63-AF40-72F8A4E93CB4}"/>
    <hyperlink ref="W19" r:id="rId59" xr:uid="{3098EC58-4F0E-42A1-92B8-0961CCE20606}"/>
    <hyperlink ref="X19" r:id="rId60" xr:uid="{8EE05E77-61BA-44C8-8022-B2DCD4496692}"/>
    <hyperlink ref="U20" r:id="rId61" xr:uid="{E7B2E4FF-123B-44F0-B936-20ABC29902B3}"/>
    <hyperlink ref="V20" r:id="rId62" xr:uid="{EB1E1B35-2E7B-4AE3-8AB2-ED6B47181F84}"/>
    <hyperlink ref="W20" r:id="rId63" xr:uid="{27B40189-8D65-4BEB-9C33-48D2877B8238}"/>
    <hyperlink ref="X20" r:id="rId64" xr:uid="{57DE8DE2-3261-4A28-B628-42AE17075C6E}"/>
    <hyperlink ref="U21" r:id="rId65" xr:uid="{FF58FFF7-C25D-47BF-AAC4-57B39540E692}"/>
    <hyperlink ref="V21" r:id="rId66" xr:uid="{1D02B7E6-EA33-4296-8E0F-DE693EC70536}"/>
    <hyperlink ref="X21" r:id="rId67" xr:uid="{EF38330D-C020-4335-B6E5-AC1F56A23AD2}"/>
    <hyperlink ref="U22" r:id="rId68" xr:uid="{D07C9153-0D83-4FFE-84F6-847840AE16DA}"/>
    <hyperlink ref="V22" r:id="rId69" xr:uid="{855C7E4D-0207-47B8-B690-E43435661DE7}"/>
    <hyperlink ref="W22" r:id="rId70" xr:uid="{480D920E-B81A-419B-9CB0-DF6A7A3266F1}"/>
    <hyperlink ref="X22" r:id="rId71" xr:uid="{656F439B-B459-4221-A151-FE8C14B6ECFC}"/>
    <hyperlink ref="U23" r:id="rId72" xr:uid="{433283E5-3AD8-4E68-B3DE-74E58D96B966}"/>
    <hyperlink ref="V23" r:id="rId73" xr:uid="{992E963C-06BA-45AE-85FA-6A57771C78EC}"/>
    <hyperlink ref="W23" r:id="rId74" xr:uid="{357E862C-A268-47E5-968A-676365FF8EEF}"/>
    <hyperlink ref="X23" r:id="rId75" xr:uid="{FC999FCB-93E6-48F2-8537-64ED9B97F55A}"/>
    <hyperlink ref="U24" r:id="rId76" xr:uid="{2355386A-93C0-4CFF-91BA-92F4DF4EED74}"/>
    <hyperlink ref="V24" r:id="rId77" xr:uid="{07E0B41C-AB27-4D80-BD73-9D1EA42CCC58}"/>
    <hyperlink ref="W24" r:id="rId78" xr:uid="{48DD5F0D-A9EF-45C2-B853-5BC9E1E763E1}"/>
    <hyperlink ref="X24" r:id="rId79" xr:uid="{16F91193-661A-49B3-8E10-6AD58CABA2B1}"/>
    <hyperlink ref="U25" r:id="rId80" xr:uid="{9B721CD4-D99D-43D7-9F72-9318C6476D0F}"/>
    <hyperlink ref="V25" r:id="rId81" xr:uid="{E9434E2E-FF98-47A9-B666-18644249FD50}"/>
    <hyperlink ref="X25" r:id="rId82" xr:uid="{912830AD-C736-4DAD-81CC-49B862EA9E32}"/>
    <hyperlink ref="U26" r:id="rId83" xr:uid="{C49A16C6-FC11-4513-B9A7-52C420EBE8C4}"/>
    <hyperlink ref="V26" r:id="rId84" xr:uid="{DD3E0A16-E410-466A-BB56-74698A40705B}"/>
    <hyperlink ref="W26" r:id="rId85" xr:uid="{B305C15A-79DC-4F1B-8DCD-DA144DCCCCA4}"/>
    <hyperlink ref="U27" r:id="rId86" xr:uid="{25C7D915-2265-47E4-A536-B2C9FEC2895D}"/>
    <hyperlink ref="V27" r:id="rId87" xr:uid="{64A4372A-BB79-47B5-9A13-433FFFC5123E}"/>
    <hyperlink ref="W27" r:id="rId88" xr:uid="{B7E19081-E594-4686-8D7A-3B9CCA54EE30}"/>
    <hyperlink ref="X27" r:id="rId89" xr:uid="{6B9BBEF5-BA29-486C-AEF3-DA4D8EB23B14}"/>
    <hyperlink ref="U28" r:id="rId90" xr:uid="{0131FF1D-CC01-40A8-AD8D-060D2917447C}"/>
    <hyperlink ref="V28" r:id="rId91" xr:uid="{D500C0D2-31E9-48EB-ADD1-1AD095C6F393}"/>
    <hyperlink ref="W28" r:id="rId92" xr:uid="{43E6C181-B704-4756-AF5E-115EF6C1A63F}"/>
    <hyperlink ref="X28" r:id="rId93" xr:uid="{8E3FCF5D-C9F0-4363-87B4-32D38CC0BB51}"/>
    <hyperlink ref="U29" r:id="rId94" xr:uid="{FFFE8F01-C5D0-4986-AB73-3FC97FB115B0}"/>
    <hyperlink ref="V29" r:id="rId95" xr:uid="{C2BACA83-BC74-4EB5-949C-FFD50C84ED6A}"/>
    <hyperlink ref="W29" r:id="rId96" xr:uid="{FC2372C9-49A4-447E-A9D1-207DBD3F47EA}"/>
    <hyperlink ref="X29" r:id="rId97" xr:uid="{59AC22F2-1E85-4931-8057-FAE80942AB79}"/>
    <hyperlink ref="U30" r:id="rId98" xr:uid="{D42374E5-7B29-4ECE-B418-688C5592369B}"/>
    <hyperlink ref="V30" r:id="rId99" xr:uid="{65E9A2C9-7DBD-491F-83BB-491BF538BB3D}"/>
    <hyperlink ref="W30" r:id="rId100" xr:uid="{40E71A4A-0AF1-4D1E-A5CC-BE42F9F7DB78}"/>
    <hyperlink ref="X30" r:id="rId101" xr:uid="{2D5A90C1-5215-4E51-A507-42ADA1A34603}"/>
    <hyperlink ref="U31" r:id="rId102" xr:uid="{F088E194-2E5F-4CF3-BCAA-E04276A963E3}"/>
    <hyperlink ref="V31" r:id="rId103" xr:uid="{074836E1-A204-4584-97C2-015F6868F0BE}"/>
    <hyperlink ref="W31" r:id="rId104" xr:uid="{BFF50F21-288E-4530-BDB3-1FD4F51E060C}"/>
    <hyperlink ref="X31" r:id="rId105" xr:uid="{B5B4DE02-BF37-4674-B2F6-7757B59A1D5D}"/>
    <hyperlink ref="U32" r:id="rId106" xr:uid="{B4D4FFF5-A1B7-4CB7-929A-19717E9D0D0F}"/>
    <hyperlink ref="V32" r:id="rId107" xr:uid="{F3F6F61A-86AE-48FD-AD00-22FB310ACFCC}"/>
    <hyperlink ref="W32" r:id="rId108" xr:uid="{73E5A61C-C9E5-4298-B573-882F88468462}"/>
    <hyperlink ref="X32" r:id="rId109" xr:uid="{BBFAD8EA-2747-4490-84CB-04F9AB169CEB}"/>
    <hyperlink ref="U33" r:id="rId110" xr:uid="{649BC10A-AE65-4653-B697-BA55745051E3}"/>
    <hyperlink ref="V33" r:id="rId111" xr:uid="{E73E0AC5-204F-4E36-ABA7-63FFE8E5833B}"/>
    <hyperlink ref="W33" r:id="rId112" xr:uid="{DC8E7991-7A81-495F-99B3-CD3C0F1B0CC2}"/>
    <hyperlink ref="X33" r:id="rId113" xr:uid="{B3022C2E-6713-4721-B132-1889B598DF69}"/>
    <hyperlink ref="U34" r:id="rId114" xr:uid="{03813859-A001-4D37-8B44-62CEE987CF47}"/>
    <hyperlink ref="V34" r:id="rId115" xr:uid="{1E15C435-57C4-4868-B06D-3FB73403A2C4}"/>
    <hyperlink ref="W34" r:id="rId116" xr:uid="{38B213E4-BFA9-4A80-81E5-007B230DEFDB}"/>
    <hyperlink ref="X34" r:id="rId117" xr:uid="{774A7003-15A7-458D-B3A8-1D4E8E570BB6}"/>
    <hyperlink ref="U35" r:id="rId118" xr:uid="{514E5D97-5821-4055-B156-88948C86156F}"/>
    <hyperlink ref="V35" r:id="rId119" xr:uid="{69D139DE-D618-426D-88B2-1EE48BF2275B}"/>
    <hyperlink ref="W35" r:id="rId120" xr:uid="{06DC392E-3815-4384-B5E9-25630BD083CF}"/>
    <hyperlink ref="X35" r:id="rId121" xr:uid="{B030F6B1-CB5D-40F0-9FFA-9B9031469644}"/>
    <hyperlink ref="U36" r:id="rId122" xr:uid="{E6C739F4-CF9C-4E19-A6AE-A59D3CCA7222}"/>
    <hyperlink ref="V36" r:id="rId123" xr:uid="{4E759293-AC9F-41DB-A972-B1493131D507}"/>
    <hyperlink ref="X36" r:id="rId124" xr:uid="{22C98856-66E3-4530-81B7-7E3E0F1A7201}"/>
    <hyperlink ref="U37" r:id="rId125" xr:uid="{2382BFDF-1818-4CAE-8034-3E36FF6A5BD0}"/>
    <hyperlink ref="V37" r:id="rId126" xr:uid="{42E585CF-DFCB-446F-ABB4-777D9BEBE3AE}"/>
    <hyperlink ref="X37" r:id="rId127" xr:uid="{9625557A-B7D4-4510-8BE8-FAA0C888FFAA}"/>
    <hyperlink ref="U38" r:id="rId128" xr:uid="{FDF3BB34-7EFC-494B-A857-0D0A234EFB80}"/>
    <hyperlink ref="V38" r:id="rId129" xr:uid="{11FC893D-8F10-4DB7-B4BF-777178486586}"/>
    <hyperlink ref="X38" r:id="rId130" xr:uid="{21CBA0E7-BF2D-469A-8D8F-4E669A9101D5}"/>
    <hyperlink ref="U39" r:id="rId131" xr:uid="{D291B76A-9551-4755-A32B-B077868B28FB}"/>
    <hyperlink ref="V39" r:id="rId132" xr:uid="{6296CD96-9B16-4AE4-BACC-25494158917A}"/>
    <hyperlink ref="W39" r:id="rId133" xr:uid="{8FE0590A-6AEE-491A-BD2E-C56A7E8816B4}"/>
    <hyperlink ref="X39" r:id="rId134" xr:uid="{74391AF9-4BAC-4283-AAEA-5EF4D43E92DF}"/>
    <hyperlink ref="U40" r:id="rId135" xr:uid="{1D112AE4-0558-44D6-AC93-34E279B34884}"/>
    <hyperlink ref="V40" r:id="rId136" xr:uid="{E07315C7-CE57-47FB-BDC4-82663FA103A1}"/>
    <hyperlink ref="W40" r:id="rId137" xr:uid="{10C4641E-3224-4BA3-8C33-ED61339A48B4}"/>
    <hyperlink ref="X40" r:id="rId138" xr:uid="{9F16A584-81F1-4637-9343-640D8CF395C1}"/>
    <hyperlink ref="U41" r:id="rId139" xr:uid="{C4C41B59-9B2B-4A63-8F4C-8E2642D72DD9}"/>
    <hyperlink ref="V41" r:id="rId140" xr:uid="{2794C51B-E5C8-4A0F-9650-9596E8C850CC}"/>
    <hyperlink ref="W41" r:id="rId141" xr:uid="{2256B853-73E8-4D8C-966A-B58F27395790}"/>
    <hyperlink ref="X41" r:id="rId142" xr:uid="{39814ADE-A0B5-43F1-A5D4-4AC845AC0808}"/>
    <hyperlink ref="U42" r:id="rId143" xr:uid="{3454A1ED-BA90-4E89-86BB-CE7CF9E0BA72}"/>
    <hyperlink ref="V42" r:id="rId144" xr:uid="{09890701-8528-48AD-BE73-F368DC5F0C42}"/>
    <hyperlink ref="W42" r:id="rId145" xr:uid="{67E64C9A-AF96-4A7A-AFEC-B28C809DCAC5}"/>
    <hyperlink ref="X42" r:id="rId146" xr:uid="{C8800101-0A12-42D7-B419-3D48492EC29E}"/>
    <hyperlink ref="U43" r:id="rId147" xr:uid="{D1196DFA-2653-4F25-A1EB-51DE7EC5287B}"/>
    <hyperlink ref="V43" r:id="rId148" xr:uid="{4236FCC0-D175-4B86-B677-F5A00FA657AA}"/>
    <hyperlink ref="W43" r:id="rId149" xr:uid="{FF0838AB-50EF-4B07-BD32-82E03D5AEA4B}"/>
    <hyperlink ref="X43" r:id="rId150" xr:uid="{EDBD20B9-A206-46E4-82B9-C963A8FC6977}"/>
    <hyperlink ref="U44" r:id="rId151" xr:uid="{F777E625-2368-4B06-A6C7-0D684DAFCE1D}"/>
    <hyperlink ref="V44" r:id="rId152" xr:uid="{91B44F98-CB22-410B-A5D2-C46674AF9841}"/>
    <hyperlink ref="W44" r:id="rId153" xr:uid="{0D373F9D-8ABF-487D-9D09-31ED10325B75}"/>
    <hyperlink ref="X44" r:id="rId154" xr:uid="{06005896-9678-4B49-93F8-407FE35604A4}"/>
    <hyperlink ref="U45" r:id="rId155" xr:uid="{D1B5837F-3DF2-4E88-9A40-641B023B12C5}"/>
    <hyperlink ref="V45" r:id="rId156" xr:uid="{0F784948-DA70-4AC7-A735-9B5794C900FC}"/>
    <hyperlink ref="W45" r:id="rId157" xr:uid="{769D48D2-C204-4294-8BA4-3F8CA082F2DE}"/>
    <hyperlink ref="X45" r:id="rId158" xr:uid="{551C7F41-9972-4096-B90A-45CE4DDE8C15}"/>
    <hyperlink ref="U46" r:id="rId159" xr:uid="{907AA86A-21C5-4E4F-9A0E-2B4B714A4287}"/>
    <hyperlink ref="V46" r:id="rId160" xr:uid="{5BACED19-25DE-484C-9B87-9AA46F84572C}"/>
    <hyperlink ref="W46" r:id="rId161" xr:uid="{16C26443-A59E-464A-9D89-0064D9B259DF}"/>
    <hyperlink ref="X46" r:id="rId162" xr:uid="{26E96AEC-84B9-4059-ACA1-BEDF60406BB7}"/>
    <hyperlink ref="U47" r:id="rId163" xr:uid="{0C08D67A-0AA4-47A2-9A85-9F60087F1FFE}"/>
    <hyperlink ref="V47" r:id="rId164" xr:uid="{32353774-0DA0-480D-BEE3-A96754057A1A}"/>
    <hyperlink ref="W47" r:id="rId165" xr:uid="{2EB7FFBF-DF2C-4ACF-9633-B46E2197FDCE}"/>
    <hyperlink ref="X47" r:id="rId166" xr:uid="{0A93D997-ECE8-45FB-9626-15306ABC7B1E}"/>
    <hyperlink ref="U48" r:id="rId167" xr:uid="{AB1420AB-B271-4113-9B67-2FB3E15F5FDC}"/>
    <hyperlink ref="V48" r:id="rId168" xr:uid="{D6785B10-6DD4-4CF5-895E-341F9BDDE256}"/>
    <hyperlink ref="W48" r:id="rId169" xr:uid="{DA6AB8AE-6683-4A04-AD7E-03E396A2981D}"/>
    <hyperlink ref="X48" r:id="rId170" xr:uid="{D9CA1A88-A52F-458A-8C2C-88AE33A608E6}"/>
    <hyperlink ref="U49" r:id="rId171" xr:uid="{56D7F098-43FE-49F2-B761-6D8BD6FD5BB4}"/>
    <hyperlink ref="V49" r:id="rId172" xr:uid="{C6DDC6D2-CEFB-4459-8F29-BEFBA77DB364}"/>
    <hyperlink ref="W49" r:id="rId173" xr:uid="{F5956EEB-7E53-48C4-AA87-3F43B1C37818}"/>
    <hyperlink ref="X49" r:id="rId174" xr:uid="{5DD6646B-873C-4C83-A538-6CAD67222E70}"/>
    <hyperlink ref="U50" r:id="rId175" xr:uid="{5A986BEB-6586-48D0-8E07-227E7140E482}"/>
    <hyperlink ref="V50" r:id="rId176" xr:uid="{1DECB395-7DC7-4AA1-943B-A8F81D78B1E7}"/>
    <hyperlink ref="X50" r:id="rId177" xr:uid="{EB480108-0150-49BC-8D28-F17DFA499303}"/>
    <hyperlink ref="U51" r:id="rId178" xr:uid="{3FA5303B-68CB-43CF-97E3-482EAE969809}"/>
    <hyperlink ref="V51" r:id="rId179" xr:uid="{47B77639-F7FE-4DA5-9277-ECAB013297AB}"/>
    <hyperlink ref="W51" r:id="rId180" xr:uid="{5CA428BC-27E8-4AE2-A3B4-93CEB9CD5BB3}"/>
    <hyperlink ref="X51" r:id="rId181" xr:uid="{3A2CAC8D-AB02-4FA1-8A4E-988A40B82A54}"/>
    <hyperlink ref="U52" r:id="rId182" xr:uid="{D00567FA-CAF9-4536-882C-5FBCC054D7E7}"/>
    <hyperlink ref="V52" r:id="rId183" xr:uid="{901B2E8C-5D22-4832-B53C-249B297238F6}"/>
    <hyperlink ref="W52" r:id="rId184" xr:uid="{C6FBB57B-7F0F-4198-9A87-34E1C1E1BCF4}"/>
    <hyperlink ref="X52" r:id="rId185" xr:uid="{CD8FC443-E9F3-4BC4-942A-75D16CA621F6}"/>
    <hyperlink ref="U53" r:id="rId186" xr:uid="{589BBD7C-93C5-45FE-8FB2-604BB4517009}"/>
    <hyperlink ref="V53" r:id="rId187" xr:uid="{AC31EDE3-9CA3-4C20-B6FC-52CE9543B81F}"/>
    <hyperlink ref="W53" r:id="rId188" xr:uid="{CACC7112-7801-4020-89FD-40E7C19C3D8A}"/>
    <hyperlink ref="X53" r:id="rId189" xr:uid="{008F734D-C27F-4017-AB5B-4B81B7C77303}"/>
    <hyperlink ref="U54" r:id="rId190" xr:uid="{F608EF9F-9CE9-4F6E-912E-C831B5E3CECD}"/>
    <hyperlink ref="V54" r:id="rId191" xr:uid="{BA360B94-E664-43F2-B437-3D92CD7D9DA6}"/>
    <hyperlink ref="W54" r:id="rId192" xr:uid="{E36FCADA-747B-4EBE-9789-1F9852523BE5}"/>
    <hyperlink ref="X54" r:id="rId193" xr:uid="{958D4D82-E2B6-40D5-9CBC-D00FD53FF55A}"/>
    <hyperlink ref="U55" r:id="rId194" xr:uid="{6190D080-6D25-46AE-8DF0-1D6ECA2F4859}"/>
    <hyperlink ref="V55" r:id="rId195" xr:uid="{C915CF92-9CC9-42D6-A89C-69F499FE0CA9}"/>
    <hyperlink ref="W55" r:id="rId196" xr:uid="{B02435C5-9F3F-4515-B006-FFAEC1B9C131}"/>
    <hyperlink ref="X55" r:id="rId197" xr:uid="{01C82FA3-F6F4-427A-9F98-101EAF6B895E}"/>
    <hyperlink ref="U56" r:id="rId198" xr:uid="{F13984EB-8311-4DC1-BD57-C73C62E2C3F2}"/>
    <hyperlink ref="V56" r:id="rId199" xr:uid="{D0919FAB-09C1-4DD9-9A20-580383B36B18}"/>
    <hyperlink ref="W56" r:id="rId200" xr:uid="{BA1D962E-30D7-4487-A359-15BFFFC5FE8C}"/>
    <hyperlink ref="X56" r:id="rId201" xr:uid="{765DC18A-D922-4FF8-BF78-16762430DC89}"/>
    <hyperlink ref="U57" r:id="rId202" xr:uid="{61BC6840-9F2E-4D19-963D-9A4F02D1975B}"/>
    <hyperlink ref="V57" r:id="rId203" xr:uid="{3206318E-76F5-46D2-8A0F-54EEA33F6AC9}"/>
    <hyperlink ref="W57" r:id="rId204" xr:uid="{70AD4A34-202D-47D3-A916-593E5A5A843D}"/>
    <hyperlink ref="X57" r:id="rId205" xr:uid="{4CA22343-C394-431E-836D-A55A59861DE4}"/>
  </hyperlinks>
  <pageMargins left="0.7" right="0.7" top="0.75" bottom="0.75" header="0.3" footer="0.3"/>
  <tableParts count="1">
    <tablePart r:id="rId2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2026-09-24T12:18:00Z</dcterms:modified>
</cp:coreProperties>
</file>