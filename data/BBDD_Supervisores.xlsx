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21039437-7C3F-457A-A448-9E7C5C6E0A20}"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definedNames>
    <definedName name="_xlnm._FilterDatabase" localSheetId="1" hidden="1">'masa de trabajo'!$B$1:$D$39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43" i="1" l="1"/>
  <c r="AI43" i="1"/>
  <c r="AJ43" i="1"/>
  <c r="AJ9" i="1"/>
  <c r="AJ10" i="1"/>
  <c r="AJ11" i="1"/>
  <c r="AJ12" i="1"/>
  <c r="AJ13" i="1"/>
  <c r="AJ14" i="1"/>
  <c r="AJ15" i="1"/>
  <c r="AJ16" i="1"/>
  <c r="AJ17" i="1"/>
  <c r="AJ18" i="1"/>
  <c r="AJ19" i="1"/>
  <c r="AJ20" i="1"/>
  <c r="AJ21" i="1"/>
  <c r="AJ22" i="1"/>
  <c r="AJ23" i="1"/>
  <c r="AJ24" i="1"/>
  <c r="AJ25" i="1"/>
  <c r="AJ26" i="1"/>
  <c r="AJ27" i="1"/>
  <c r="AJ28" i="1"/>
  <c r="AJ29" i="1"/>
  <c r="AJ30" i="1"/>
  <c r="AJ31" i="1"/>
  <c r="AJ32" i="1"/>
  <c r="AJ33" i="1"/>
  <c r="AJ34" i="1"/>
  <c r="AJ35" i="1"/>
  <c r="AJ36" i="1"/>
  <c r="AJ37" i="1"/>
  <c r="AJ38" i="1"/>
  <c r="AJ39" i="1"/>
  <c r="AJ40" i="1"/>
  <c r="AJ41" i="1"/>
  <c r="AJ42" i="1"/>
  <c r="AJ3" i="1"/>
  <c r="AJ4" i="1"/>
  <c r="AJ5" i="1"/>
  <c r="AJ6" i="1"/>
  <c r="AJ7" i="1"/>
  <c r="AJ8" i="1"/>
  <c r="AJ2" i="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9" i="1"/>
  <c r="AI30" i="1"/>
  <c r="AI31" i="1"/>
  <c r="AI32" i="1"/>
  <c r="AI33" i="1"/>
  <c r="AI34" i="1"/>
  <c r="AI35" i="1"/>
  <c r="AI36" i="1"/>
  <c r="AI37" i="1"/>
  <c r="AI38" i="1"/>
  <c r="AI39" i="1"/>
  <c r="AI40" i="1"/>
  <c r="AI41" i="1"/>
  <c r="AI42" i="1"/>
  <c r="AI2" i="1"/>
  <c r="AH2" i="1"/>
  <c r="AH3" i="1"/>
  <c r="AH4" i="1"/>
  <c r="AH5" i="1"/>
  <c r="AH6" i="1"/>
  <c r="AH7" i="1"/>
  <c r="AH8" i="1"/>
  <c r="AH9" i="1"/>
  <c r="AH10" i="1"/>
  <c r="AH11" i="1"/>
  <c r="AH12" i="1"/>
  <c r="AH13" i="1"/>
  <c r="AH14" i="1"/>
  <c r="AH15" i="1"/>
  <c r="AH16" i="1"/>
  <c r="AH17" i="1"/>
  <c r="AH18" i="1"/>
  <c r="AH19" i="1"/>
  <c r="AH20" i="1"/>
  <c r="AH21" i="1"/>
  <c r="AH22" i="1"/>
  <c r="AH23" i="1"/>
  <c r="AH24" i="1"/>
  <c r="AH25" i="1"/>
  <c r="AH26" i="1"/>
  <c r="AH27" i="1"/>
  <c r="AH28" i="1"/>
  <c r="AH29" i="1"/>
  <c r="AH30" i="1"/>
  <c r="AH31" i="1"/>
  <c r="AH32" i="1"/>
  <c r="AH33" i="1"/>
  <c r="AH34" i="1"/>
  <c r="AH35" i="1"/>
  <c r="AH36" i="1"/>
  <c r="AH37" i="1"/>
  <c r="AH38" i="1"/>
  <c r="AH39" i="1"/>
  <c r="AH40" i="1"/>
  <c r="AH41" i="1"/>
  <c r="AH42" i="1"/>
</calcChain>
</file>

<file path=xl/sharedStrings.xml><?xml version="1.0" encoding="utf-8"?>
<sst xmlns="http://schemas.openxmlformats.org/spreadsheetml/2006/main" count="1167" uniqueCount="385">
  <si>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</si>
  <si>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</si>
  <si>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</si>
  <si>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</si>
  <si>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</si>
  <si>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</si>
  <si>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</si>
  <si>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</si>
  <si>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</si>
  <si>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</si>
  <si>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</si>
  <si>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</si>
  <si>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</si>
  <si>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</si>
  <si>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</si>
  <si>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</si>
  <si>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</si>
  <si>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</si>
  <si>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</si>
  <si>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</si>
  <si>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</si>
  <si>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</si>
  <si>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</si>
  <si>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</si>
  <si>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</si>
  <si>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</si>
  <si>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</si>
  <si>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</si>
  <si>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</si>
  <si>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</si>
  <si>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</si>
  <si>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</si>
  <si>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</si>
  <si>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</si>
  <si>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</si>
  <si>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</si>
  <si>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</si>
  <si>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</si>
  <si>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</si>
  <si>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</si>
  <si>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</si>
  <si>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</si>
  <si>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</si>
  <si>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</si>
  <si>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</si>
  <si>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</si>
  <si>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</si>
  <si>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</si>
  <si>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</si>
  <si>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</si>
  <si>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</si>
  <si>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</si>
  <si>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</si>
  <si>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</si>
  <si>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</si>
  <si>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</si>
  <si>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</si>
  <si>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</si>
  <si>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</si>
  <si>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</si>
  <si>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</si>
  <si>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</si>
  <si>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</si>
  <si>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</si>
  <si>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</si>
  <si>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</si>
  <si>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</si>
  <si>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</si>
  <si>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</si>
  <si>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</si>
  <si>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</si>
  <si>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</si>
  <si>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</si>
  <si>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</si>
  <si>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</si>
  <si>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</si>
  <si>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</si>
  <si>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</si>
  <si>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</si>
  <si>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</si>
  <si>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</si>
  <si>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</si>
  <si>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</si>
  <si>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</si>
  <si>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</si>
  <si>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</si>
  <si>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</si>
  <si>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</si>
  <si>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</si>
  <si>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</si>
  <si>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</si>
  <si>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</si>
  <si>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</si>
  <si>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</si>
  <si>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</si>
  <si>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</si>
  <si>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</si>
  <si>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</si>
  <si>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</si>
  <si>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</si>
  <si>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</si>
  <si>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</si>
  <si>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</si>
  <si>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</si>
  <si>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</si>
  <si>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</si>
  <si>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</si>
  <si>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</si>
  <si>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</si>
  <si>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</si>
  <si>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</si>
  <si>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</si>
  <si>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</si>
  <si>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</si>
  <si>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</si>
  <si>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</si>
  <si>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</si>
  <si>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</si>
  <si>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</si>
  <si>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</si>
  <si>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</si>
  <si>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</si>
  <si>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</si>
  <si>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</si>
  <si>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</si>
  <si>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</si>
  <si>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</si>
  <si>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</si>
  <si>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</si>
  <si>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</si>
  <si>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</si>
  <si>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</si>
  <si>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</si>
  <si>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</si>
  <si>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</si>
  <si>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</si>
  <si>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</si>
  <si>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</si>
  <si>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</si>
  <si>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</si>
  <si>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</si>
  <si>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</si>
  <si>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</si>
  <si>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</si>
  <si>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</si>
  <si>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</si>
  <si>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</si>
  <si>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</si>
  <si>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</si>
  <si>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</si>
  <si>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</si>
  <si>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</si>
  <si>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</si>
  <si>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</si>
  <si>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</si>
  <si>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</si>
  <si>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</si>
  <si>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</si>
  <si>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</si>
  <si>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</si>
  <si>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</si>
  <si>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</si>
  <si>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</si>
  <si>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</si>
  <si>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</si>
  <si>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</si>
  <si>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</si>
  <si>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</si>
  <si>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</si>
  <si>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</si>
  <si>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</si>
  <si>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</si>
  <si>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</si>
  <si>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</si>
  <si>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</si>
  <si>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</si>
  <si>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</si>
  <si>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</si>
  <si>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</si>
  <si>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</si>
  <si>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</si>
  <si>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</si>
  <si>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</si>
  <si>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</si>
  <si>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</si>
  <si>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</si>
  <si>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</si>
  <si>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</si>
  <si>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</si>
  <si>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</si>
  <si>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</si>
  <si>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</si>
  <si>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</si>
  <si>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</si>
  <si>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</si>
  <si>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</si>
  <si>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</si>
  <si>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</si>
  <si>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</si>
  <si>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</si>
  <si>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</si>
  <si>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</si>
  <si>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</si>
  <si>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</si>
  <si>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</si>
  <si>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</si>
  <si>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</si>
  <si>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</si>
  <si>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</si>
  <si>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</si>
  <si>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</si>
  <si>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</si>
  <si>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</si>
  <si>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</si>
  <si>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</si>
  <si>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</si>
  <si>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</si>
  <si>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</si>
  <si>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</si>
  <si>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</si>
  <si>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</si>
  <si>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</si>
  <si>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</si>
  <si>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</si>
  <si>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</si>
  <si>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</si>
  <si>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</si>
  <si>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</si>
  <si>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</si>
  <si>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</si>
  <si>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</si>
  <si>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</si>
  <si>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</si>
  <si>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</si>
  <si>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</si>
  <si>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</si>
  <si>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</si>
  <si>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</si>
  <si>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</si>
  <si>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</si>
  <si>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</si>
  <si>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</si>
  <si>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</si>
  <si>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</si>
  <si>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</si>
  <si>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</si>
  <si>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</si>
  <si>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</si>
  <si>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</si>
  <si>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</si>
  <si>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</si>
  <si>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</si>
  <si>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</si>
  <si>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</si>
  <si>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</si>
  <si>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</si>
  <si>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</si>
  <si>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</si>
  <si>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</si>
  <si>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</si>
  <si>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</si>
  <si>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</si>
  <si>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</si>
  <si>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</si>
  <si>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</si>
  <si>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</si>
  <si>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</si>
  <si>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</si>
  <si>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</si>
  <si>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</si>
  <si>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</si>
  <si>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</si>
  <si>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</si>
  <si>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</si>
  <si>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</si>
  <si>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</si>
  <si>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</si>
  <si>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</si>
  <si>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</si>
  <si>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</si>
  <si>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</si>
  <si>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</si>
  <si>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</si>
  <si>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</si>
  <si>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</si>
  <si>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</si>
  <si>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</si>
  <si>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</si>
  <si>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</si>
  <si>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</si>
  <si>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</si>
  <si>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</si>
  <si>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</si>
  <si>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</si>
  <si>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</si>
  <si>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</si>
  <si>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</si>
  <si>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</si>
  <si>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</si>
  <si>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</si>
  <si>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</si>
  <si>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</si>
  <si>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</si>
  <si>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</si>
  <si>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</si>
  <si>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</si>
  <si>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</si>
  <si>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</si>
  <si>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</si>
  <si>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</si>
  <si>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</si>
  <si>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</si>
  <si>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</si>
  <si>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</si>
  <si>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</si>
  <si>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</si>
  <si>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</si>
  <si>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</si>
  <si>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</si>
  <si>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</si>
  <si>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</si>
  <si>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</si>
  <si>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</si>
  <si>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</si>
  <si>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</si>
  <si>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</si>
  <si>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</si>
  <si>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</si>
  <si>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</si>
  <si>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</si>
  <si>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</si>
  <si>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</si>
  <si>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</si>
  <si>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</si>
  <si>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</si>
  <si>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</si>
  <si>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</si>
  <si>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</si>
  <si>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</si>
  <si>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</si>
  <si>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</si>
  <si>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</si>
  <si>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</si>
  <si>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</si>
  <si>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</si>
  <si>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</si>
  <si>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</si>
  <si>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</si>
  <si>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</si>
  <si>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</si>
  <si>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</si>
  <si>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</si>
  <si>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</si>
  <si>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</si>
  <si>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</si>
  <si>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</si>
  <si>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</si>
  <si>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</si>
  <si>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</si>
  <si>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</si>
  <si>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</si>
  <si>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</si>
  <si>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</si>
  <si>
    <t>1-3NOYLK2D</t>
  </si>
  <si>
    <t>XAVIER NATERA MARTINEZ</t>
  </si>
  <si>
    <t xml:space="preserve">Los suspiros 2864, Quinta Normal </t>
  </si>
  <si>
    <t>https://drive.google.com/open?id=14swrKT8z_gymQwhT5IhdH-mVs0pplGko</t>
  </si>
  <si>
    <t>https://drive.google.com/open?id=1ANguWjjWSjseyLds8byVP6N9nzOT39tx</t>
  </si>
  <si>
    <t>https://drive.google.com/open?id=1wKQpc_z6296Zpf7qLkmrb96dsJw9h1ez</t>
  </si>
  <si>
    <t>https://drive.google.com/open?id=1-1rwkehkMlzlYTR3c3C47jf_-71kQDOU</t>
  </si>
  <si>
    <t>1-3NOTROJ0</t>
  </si>
  <si>
    <t>Av Cardenal Jose Maria Caro 3368, Independencia</t>
  </si>
  <si>
    <t>Freddy Flores</t>
  </si>
  <si>
    <t>https://drive.google.com/open?id=1fr8kqb0qYgoW1kJvGmuYSGKXphKqkO4S</t>
  </si>
  <si>
    <t>https://drive.google.com/open?id=1GrHh-fNVvY4NmvaaOiftMkxS_2xxmyxP</t>
  </si>
  <si>
    <t>https://drive.google.com/open?id=1Wskr8uc0GZARG5xMSg7mC1mqiEcPBwIx</t>
  </si>
  <si>
    <t>https://drive.google.com/open?id=1qFeraJ0W0wL6xeEvbWqkxvRVd6vkiZLO</t>
  </si>
  <si>
    <t>Solo falta utilizar ambos one click</t>
  </si>
  <si>
    <t>1-3NPLUJ4C</t>
  </si>
  <si>
    <t>Av costanera sur 4832, Quinta Normal</t>
  </si>
  <si>
    <t>https://drive.google.com/open?id=1EUNQ_WLp7Z_eaFBr4GxAOwQf2hohRZLu</t>
  </si>
  <si>
    <t>https://drive.google.com/open?id=1mQ-GjTcSvbY8EU1ZE7qg5Wn1xToM9WZ5</t>
  </si>
  <si>
    <t>https://drive.google.com/open?id=1ff7gndt56j206swD5de6hpheDUPgwmmI</t>
  </si>
  <si>
    <t>https://drive.google.com/open?id=1Fq_WRrGKyUsT7_5INBoXsvGn7V7Xu18W</t>
  </si>
  <si>
    <t>No utiliza one click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</si>
</sst>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2">
    <border>
      <left/>
      <right/>
      <top/>
      <bottom/>
      <diagonal/>
    </border>
    <border>
      <left/>
      <right/>
      <top style="thin">
        <color rgb="FF5B3F86"/>
      </top>
      <bottom/>
      <diagonal/>
    </border>
  </borders>
  <cellStyleXfs count="2">
    <xf numFmtId="0" fontId="0" fillId="0" borderId="0"/>
    <xf numFmtId="0" fontId="4" fillId="5" borderId="0" applyNumberFormat="0" applyBorder="0" applyAlignment="0" applyProtection="0"/>
  </cellStyleXfs>
  <cellXfs count="17">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3" headerRowDxfId="34">
  <autoFilter ref="A1:AJ43" xr:uid="{00000000-000C-0000-FFFF-FFFF00000000}"/>
  <tableColumns count="36">
    <tableColumn id="1" xr3:uid="{00000000-0010-0000-0000-000001000000}" name="Marca temporal" dataDxfId="27"/>
    <tableColumn id="2" xr3:uid="{00000000-0010-0000-0000-000002000000}" name="Puntuación" dataDxfId="26"/>
    <tableColumn id="3" xr3:uid="{00000000-0010-0000-0000-000003000000}" name="N° PETICIÓN " dataDxfId="25"/>
    <tableColumn id="4" xr3:uid="{00000000-0010-0000-0000-000004000000}" name="Nombre Técnico" dataDxfId="24"/>
    <tableColumn id="5" xr3:uid="{00000000-0010-0000-0000-000005000000}" name="SUPERVISOR" dataDxfId="23"/>
    <tableColumn id="6" xr3:uid="{00000000-0010-0000-0000-000006000000}" name="Se ejecuto la actividad" dataDxfId="22"/>
    <tableColumn id="7" xr3:uid="{00000000-0010-0000-0000-000007000000}" name="Se concreta auditoria?" dataDxfId="21"/>
    <tableColumn id="8" xr3:uid="{00000000-0010-0000-0000-000008000000}" name="Motivo de la derivación" dataDxfId="33"/>
    <tableColumn id="9" xr3:uid="{00000000-0010-0000-0000-000009000000}" name="Auditoria" dataDxfId="20"/>
    <tableColumn id="10" xr3:uid="{00000000-0010-0000-0000-00000A000000}" name="Actividad" dataDxfId="19"/>
    <tableColumn id="11" xr3:uid="{00000000-0010-0000-0000-00000B000000}" name="Instala drop con soportes" dataDxfId="32"/>
    <tableColumn id="12" xr3:uid="{00000000-0010-0000-0000-00000C000000}" name="DIRECCIÓN (Calle - Numero) " dataDxfId="18"/>
    <tableColumn id="13" xr3:uid="{00000000-0010-0000-0000-00000D000000}" name="Instala Pasa-muros " dataDxfId="31"/>
    <tableColumn id="14" xr3:uid="{00000000-0010-0000-0000-00000E000000}" name="Roseta Óptica en norma y atornillada " dataDxfId="17"/>
    <tableColumn id="15" xr3:uid="{00000000-0010-0000-0000-00000F000000}" name="Repetidor Cableado" dataDxfId="30"/>
    <tableColumn id="16" xr3:uid="{00000000-0010-0000-0000-000010000000}" name="Cantidad Decodificadores" dataDxfId="29"/>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28" dataCellStyle="Bueno">
      <calculatedColumnFormula>IFERROR(VLOOKUP(Form_Responses[[#This Row],[Nombre Técnico]],'masa de trabajo'!$B:$C,2,0),"")</calculatedColumnFormula>
    </tableColumn>
    <tableColumn id="30" xr3:uid="{D5B9DC4A-17D5-4220-A758-C20FA12AC150}" name="Se cerró el proceso con el técnico?" dataCellStyle="Bueno">
      <calculatedColumnFormula>VLOOKUP(Form_Responses[[#This Row],[Nombre Técnico]],'masa de trabajo'!$B:$E,3,0)</calculatedColumnFormula>
    </tableColumn>
    <tableColumn id="31" xr3:uid="{6A4280CD-66D9-45AA-9502-7B76CE3469BE}" name="Observaciones " dataCellStyle="Bueno">
      <calculatedColumnFormula>VLOOKUP(Form_Responses[[#This Row],[Nombre Técnico]],'masa de trabajo'!$B:$E,4,0)</calculatedColumnFormula>
    </tableColumn>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53" Type="http://schemas.openxmlformats.org/officeDocument/2006/relationships/hyperlink" Target="https://drive.google.com/open?id=15KDgPCFq3sfPmtt5xX54MeAKk9jAUKVI" TargetMode="External"/><Relationship Id="rId74" Type="http://schemas.openxmlformats.org/officeDocument/2006/relationships/hyperlink" Target="https://drive.google.com/open?id=175wmetPS8lkwNiPqFoJHg0ClHU-Xlywv" TargetMode="External"/><Relationship Id="rId128" Type="http://schemas.openxmlformats.org/officeDocument/2006/relationships/hyperlink" Target="https://drive.google.com/open?id=1KCRYVed39OkGvsCk0Um8ai5Fp51O9jAO" TargetMode="External"/><Relationship Id="rId149" Type="http://schemas.openxmlformats.org/officeDocument/2006/relationships/hyperlink" Target="https://drive.google.com/open?id=1ff7gndt56j206swD5de6hpheDUPgwmmI" TargetMode="External"/><Relationship Id="rId5" Type="http://schemas.openxmlformats.org/officeDocument/2006/relationships/hyperlink" Target="https://drive.google.com/open?id=12iqDQ8PRPzKO0ZtxepVFD_lo9Oak1i0A" TargetMode="External"/><Relationship Id="rId95" Type="http://schemas.openxmlformats.org/officeDocument/2006/relationships/hyperlink" Target="https://drive.google.com/open?id=1GuCx2Pc9bbIwqE8A8sCI7z2S0TmXENS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18" Type="http://schemas.openxmlformats.org/officeDocument/2006/relationships/hyperlink" Target="https://drive.google.com/open?id=1_dnXHFhbI_rHIPquJovLBhU46yIrAZ3n" TargetMode="External"/><Relationship Id="rId134" Type="http://schemas.openxmlformats.org/officeDocument/2006/relationships/hyperlink" Target="https://drive.google.com/open?id=1MwSEkrsBBQvBBAIH6sUjmiE0-F2pEfCp" TargetMode="External"/><Relationship Id="rId139" Type="http://schemas.openxmlformats.org/officeDocument/2006/relationships/hyperlink" Target="https://drive.google.com/open?id=14swrKT8z_gymQwhT5IhdH-mVs0pplGko"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150" Type="http://schemas.openxmlformats.org/officeDocument/2006/relationships/hyperlink" Target="https://drive.google.com/open?id=1Fq_WRrGKyUsT7_5INBoXsvGn7V7Xu18W"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08" Type="http://schemas.openxmlformats.org/officeDocument/2006/relationships/hyperlink" Target="https://drive.google.com/open?id=1qQa-IfAV_dLOsGZNC17MNWWzKIc7SkUQ" TargetMode="External"/><Relationship Id="rId124" Type="http://schemas.openxmlformats.org/officeDocument/2006/relationships/hyperlink" Target="https://drive.google.com/open?id=16tLU2tsRGSZYpel88kvrTizbREZsrQ7x"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40" Type="http://schemas.openxmlformats.org/officeDocument/2006/relationships/hyperlink" Target="https://drive.google.com/open?id=1ANguWjjWSjseyLds8byVP6N9nzOT39tx" TargetMode="External"/><Relationship Id="rId145" Type="http://schemas.openxmlformats.org/officeDocument/2006/relationships/hyperlink" Target="https://drive.google.com/open?id=1Wskr8uc0GZARG5xMSg7mC1mqiEcPBwIx"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51" Type="http://schemas.openxmlformats.org/officeDocument/2006/relationships/table" Target="../tables/table1.xm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141" Type="http://schemas.openxmlformats.org/officeDocument/2006/relationships/hyperlink" Target="https://drive.google.com/open?id=1wKQpc_z6296Zpf7qLkmrb96dsJw9h1ez" TargetMode="External"/><Relationship Id="rId146" Type="http://schemas.openxmlformats.org/officeDocument/2006/relationships/hyperlink" Target="https://drive.google.com/open?id=1qFeraJ0W0wL6xeEvbWqkxvRVd6vkiZLO"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147" Type="http://schemas.openxmlformats.org/officeDocument/2006/relationships/hyperlink" Target="https://drive.google.com/open?id=1EUNQ_WLp7Z_eaFBr4GxAOwQf2hohRZLu"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142" Type="http://schemas.openxmlformats.org/officeDocument/2006/relationships/hyperlink" Target="https://drive.google.com/open?id=1-1rwkehkMlzlYTR3c3C47jf_-71kQDOU"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143" Type="http://schemas.openxmlformats.org/officeDocument/2006/relationships/hyperlink" Target="https://drive.google.com/open?id=1fr8kqb0qYgoW1kJvGmuYSGKXphKqkO4S" TargetMode="External"/><Relationship Id="rId148" Type="http://schemas.openxmlformats.org/officeDocument/2006/relationships/hyperlink" Target="https://drive.google.com/open?id=1mQ-GjTcSvbY8EU1ZE7qg5Wn1xToM9WZ5"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 Id="rId16" Type="http://schemas.openxmlformats.org/officeDocument/2006/relationships/hyperlink" Target="https://drive.google.com/open?id=1cAg185xHKS5Jvh4Ti7ijYMyyD7sf934v" TargetMode="External"/><Relationship Id="rId37" Type="http://schemas.openxmlformats.org/officeDocument/2006/relationships/hyperlink" Target="https://drive.google.com/open?id=13PPlqo63EbZRR7L89FEGqMnXDfQv8n-r" TargetMode="External"/><Relationship Id="rId58" Type="http://schemas.openxmlformats.org/officeDocument/2006/relationships/hyperlink" Target="https://drive.google.com/open?id=11NCk5q4BXejTZqIpnwKMwpnaeKMX6obP"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44" Type="http://schemas.openxmlformats.org/officeDocument/2006/relationships/hyperlink" Target="https://drive.google.com/open?id=1GrHh-fNVvY4NmvaaOiftMkxS_2xxmyxP" TargetMode="External"/><Relationship Id="rId90" Type="http://schemas.openxmlformats.org/officeDocument/2006/relationships/hyperlink" Target="https://drive.google.com/open?id=1Srw9ivWGChc4dxUZ3qKDvzJAoXfnwUL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3"/>
  <sheetViews>
    <sheetView tabSelected="1" workbookViewId="0">
      <pane ySplit="1" topLeftCell="A11" activePane="bottomLeft" state="frozen"/>
      <selection pane="bottomLeft" sqref="A1:AG43"/>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1" bestFit="1" customWidth="1"/>
    <col min="35" max="35" width="35.6640625" style="12" bestFit="1" customWidth="1"/>
    <col min="36" max="36" width="76" style="12" bestFit="1" customWidth="1"/>
    <col min="37" max="39" width="18.88671875" customWidth="1"/>
  </cols>
  <sheetData>
    <row r="1" spans="1:36" s="5" customFormat="1" ht="22.5" customHeight="1" x14ac:dyDescent="0.25">
      <c r="A1" s="13" t="s">
        <v>0</v>
      </c>
      <c r="B1" s="13" t="s">
        <v>1</v>
      </c>
      <c r="C1" s="14" t="s">
        <v>2</v>
      </c>
      <c r="D1" s="14" t="s">
        <v>3</v>
      </c>
      <c r="E1" s="14" t="s">
        <v>4</v>
      </c>
      <c r="F1" s="14" t="s">
        <v>5</v>
      </c>
      <c r="G1" s="14" t="s">
        <v>6</v>
      </c>
      <c r="H1" s="14" t="s">
        <v>7</v>
      </c>
      <c r="I1" s="14" t="s">
        <v>118</v>
      </c>
      <c r="J1" s="14" t="s">
        <v>119</v>
      </c>
      <c r="K1" s="14" t="s">
        <v>120</v>
      </c>
      <c r="L1" s="13" t="s">
        <v>132</v>
      </c>
      <c r="M1" s="13" t="s">
        <v>133</v>
      </c>
      <c r="N1" s="13" t="s">
        <v>134</v>
      </c>
      <c r="O1" s="14" t="s">
        <v>8</v>
      </c>
      <c r="P1" s="14" t="s">
        <v>9</v>
      </c>
      <c r="Q1" s="14" t="s">
        <v>10</v>
      </c>
      <c r="R1" s="13" t="s">
        <v>135</v>
      </c>
      <c r="S1" s="13" t="s">
        <v>136</v>
      </c>
      <c r="T1" s="14" t="s">
        <v>11</v>
      </c>
      <c r="U1" s="14" t="s">
        <v>12</v>
      </c>
      <c r="V1" s="13" t="s">
        <v>137</v>
      </c>
      <c r="W1" s="13" t="s">
        <v>138</v>
      </c>
      <c r="X1" s="14" t="s">
        <v>13</v>
      </c>
      <c r="Y1" s="13" t="s">
        <v>139</v>
      </c>
      <c r="Z1" s="14" t="s">
        <v>14</v>
      </c>
      <c r="AA1" s="13" t="s">
        <v>140</v>
      </c>
      <c r="AB1" s="13" t="s">
        <v>141</v>
      </c>
      <c r="AC1" s="14" t="s">
        <v>121</v>
      </c>
      <c r="AD1" s="14" t="s">
        <v>122</v>
      </c>
      <c r="AE1" s="14" t="s">
        <v>123</v>
      </c>
      <c r="AF1" s="14" t="s">
        <v>124</v>
      </c>
      <c r="AG1" s="14" t="s">
        <v>125</v>
      </c>
      <c r="AH1" s="11" t="s">
        <v>48</v>
      </c>
      <c r="AI1" s="12" t="s">
        <v>49</v>
      </c>
      <c r="AJ1" s="12"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5" t="str">
        <f>IFERROR(VLOOKUP(Form_Responses[[#This Row],[Nombre Técnico]],'masa de trabajo'!$B:$C,2,0),"")</f>
        <v>SI</v>
      </c>
      <c r="AI2" s="12" t="str">
        <f>VLOOKUP(Form_Responses[[#This Row],[Nombre Técnico]],'masa de trabajo'!$B:$E,3,0)</f>
        <v>SI</v>
      </c>
      <c r="AJ2" s="12" t="str">
        <f>VLOOKUP(Form_Responses[[#This Row],[Nombre Técnico]],'masa de trabajo'!$B:$E,4,0)</f>
        <v>-</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5" t="str">
        <f>IFERROR(VLOOKUP(Form_Responses[[#This Row],[Nombre Técnico]],'masa de trabajo'!$B:$C,2,0),"")</f>
        <v>SI</v>
      </c>
      <c r="AI3" s="12" t="str">
        <f>VLOOKUP(Form_Responses[[#This Row],[Nombre Técnico]],'masa de trabajo'!$B:$E,3,0)</f>
        <v>SI</v>
      </c>
      <c r="AJ3" s="12" t="str">
        <f>VLOOKUP(Form_Responses[[#This Row],[Nombre Técnico]],'masa de trabajo'!$B:$E,4,0)</f>
        <v>Auque se nota una mejora, se realizara evantualemete seguimiento a los trabajos</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5" t="str">
        <f>IFERROR(VLOOKUP(Form_Responses[[#This Row],[Nombre Técnico]],'masa de trabajo'!$B:$C,2,0),"")</f>
        <v>SI</v>
      </c>
      <c r="AI4" s="12" t="str">
        <f>VLOOKUP(Form_Responses[[#This Row],[Nombre Técnico]],'masa de trabajo'!$B:$E,3,0)</f>
        <v>SI</v>
      </c>
      <c r="AJ4" s="12" t="str">
        <f>VLOOKUP(Form_Responses[[#This Row],[Nombre Técnico]],'masa de trabajo'!$B:$E,4,0)</f>
        <v>Auque se nota una mejora, se realizara evantualemete seguimiento a los trabajos</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5" t="str">
        <f>IFERROR(VLOOKUP(Form_Responses[[#This Row],[Nombre Técnico]],'masa de trabajo'!$B:$C,2,0),"")</f>
        <v>SI</v>
      </c>
      <c r="AI5" s="12" t="str">
        <f>VLOOKUP(Form_Responses[[#This Row],[Nombre Técnico]],'masa de trabajo'!$B:$E,3,0)</f>
        <v>-</v>
      </c>
      <c r="AJ5" s="12" t="str">
        <f>VLOOKUP(Form_Responses[[#This Row],[Nombre Técnico]],'masa de trabajo'!$B:$E,4,0)</f>
        <v>-</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5" t="str">
        <f>IFERROR(VLOOKUP(Form_Responses[[#This Row],[Nombre Técnico]],'masa de trabajo'!$B:$C,2,0),"")</f>
        <v>SI</v>
      </c>
      <c r="AI6" s="12" t="str">
        <f>VLOOKUP(Form_Responses[[#This Row],[Nombre Técnico]],'masa de trabajo'!$B:$E,3,0)</f>
        <v>SI</v>
      </c>
      <c r="AJ6" s="12" t="str">
        <f>VLOOKUP(Form_Responses[[#This Row],[Nombre Técnico]],'masa de trabajo'!$B:$E,4,0)</f>
        <v>-</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5" t="str">
        <f>IFERROR(VLOOKUP(Form_Responses[[#This Row],[Nombre Técnico]],'masa de trabajo'!$B:$C,2,0),"")</f>
        <v>SI</v>
      </c>
      <c r="AI7" s="12" t="str">
        <f>VLOOKUP(Form_Responses[[#This Row],[Nombre Técnico]],'masa de trabajo'!$B:$E,3,0)</f>
        <v>-</v>
      </c>
      <c r="AJ7" s="12" t="str">
        <f>VLOOKUP(Form_Responses[[#This Row],[Nombre Técnico]],'masa de trabajo'!$B:$E,4,0)</f>
        <v>-</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5" t="str">
        <f>IFERROR(VLOOKUP(Form_Responses[[#This Row],[Nombre Técnico]],'masa de trabajo'!$B:$C,2,0),"")</f>
        <v>SI</v>
      </c>
      <c r="AI8" s="12" t="str">
        <f>VLOOKUP(Form_Responses[[#This Row],[Nombre Técnico]],'masa de trabajo'!$B:$E,3,0)</f>
        <v>SI</v>
      </c>
      <c r="AJ8" s="12" t="str">
        <f>VLOOKUP(Form_Responses[[#This Row],[Nombre Técnico]],'masa de trabajo'!$B:$E,4,0)</f>
        <v>-</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5" t="str">
        <f>IFERROR(VLOOKUP(Form_Responses[[#This Row],[Nombre Técnico]],'masa de trabajo'!$B:$C,2,0),"")</f>
        <v>SI</v>
      </c>
      <c r="AI9" s="12" t="str">
        <f>VLOOKUP(Form_Responses[[#This Row],[Nombre Técnico]],'masa de trabajo'!$B:$E,3,0)</f>
        <v>-</v>
      </c>
      <c r="AJ9" s="12" t="str">
        <f>VLOOKUP(Form_Responses[[#This Row],[Nombre Técnico]],'masa de trabajo'!$B:$E,4,0)</f>
        <v>-</v>
      </c>
    </row>
    <row r="10" spans="1:36" ht="15.75" customHeight="1" x14ac:dyDescent="0.25">
      <c r="A10" s="1">
        <v>46247.535424652779</v>
      </c>
      <c r="B10" s="2">
        <v>0</v>
      </c>
      <c r="C10" s="3" t="s">
        <v>100</v>
      </c>
      <c r="D10" s="3" t="s">
        <v>101</v>
      </c>
      <c r="E10" s="3" t="s">
        <v>17</v>
      </c>
      <c r="F10" s="3" t="s">
        <v>18</v>
      </c>
      <c r="G10" s="3" t="s">
        <v>18</v>
      </c>
      <c r="I10" s="3" t="s">
        <v>19</v>
      </c>
      <c r="J10" s="3" t="s">
        <v>20</v>
      </c>
      <c r="K10" s="3" t="s">
        <v>21</v>
      </c>
      <c r="L10" s="3" t="s">
        <v>102</v>
      </c>
      <c r="N10" s="3" t="s">
        <v>21</v>
      </c>
      <c r="P10" s="3">
        <v>2</v>
      </c>
      <c r="Q10" s="3" t="s">
        <v>23</v>
      </c>
      <c r="R10" s="3" t="s">
        <v>23</v>
      </c>
      <c r="S10" s="3" t="s">
        <v>103</v>
      </c>
      <c r="T10" s="3">
        <v>4</v>
      </c>
      <c r="U10" s="4" t="s">
        <v>104</v>
      </c>
      <c r="V10" s="4" t="s">
        <v>105</v>
      </c>
      <c r="X10" s="4" t="s">
        <v>106</v>
      </c>
      <c r="Y10" s="3" t="s">
        <v>30</v>
      </c>
      <c r="Z10" s="3" t="s">
        <v>30</v>
      </c>
      <c r="AA10" s="3">
        <v>6</v>
      </c>
      <c r="AB10" s="3" t="s">
        <v>107</v>
      </c>
      <c r="AC10" s="3"/>
      <c r="AD10" s="3"/>
      <c r="AE10" s="3"/>
      <c r="AF10" s="3"/>
      <c r="AG10" s="3"/>
      <c r="AH10" s="15" t="str">
        <f>IFERROR(VLOOKUP(Form_Responses[[#This Row],[Nombre Técnico]],'masa de trabajo'!$B:$C,2,0),"")</f>
        <v>SI</v>
      </c>
      <c r="AI10" s="12" t="str">
        <f>VLOOKUP(Form_Responses[[#This Row],[Nombre Técnico]],'masa de trabajo'!$B:$E,3,0)</f>
        <v>SI</v>
      </c>
      <c r="AJ10" s="12" t="str">
        <f>VLOOKUP(Form_Responses[[#This Row],[Nombre Técnico]],'masa de trabajo'!$B:$E,4,0)</f>
        <v>-</v>
      </c>
    </row>
    <row r="11" spans="1:36" ht="15.75" customHeight="1" x14ac:dyDescent="0.25">
      <c r="A11" s="1">
        <v>46247.71862049769</v>
      </c>
      <c r="B11" s="2">
        <v>0</v>
      </c>
      <c r="C11" s="3" t="s">
        <v>108</v>
      </c>
      <c r="D11" s="3" t="s">
        <v>109</v>
      </c>
      <c r="E11" s="3" t="s">
        <v>53</v>
      </c>
      <c r="F11" s="3" t="s">
        <v>18</v>
      </c>
      <c r="G11" s="3" t="s">
        <v>18</v>
      </c>
      <c r="I11" s="3" t="s">
        <v>19</v>
      </c>
      <c r="J11" s="3" t="s">
        <v>41</v>
      </c>
      <c r="K11" s="3" t="s">
        <v>21</v>
      </c>
      <c r="L11" s="3" t="s">
        <v>110</v>
      </c>
      <c r="M11" s="3" t="s">
        <v>23</v>
      </c>
      <c r="N11" s="3" t="s">
        <v>21</v>
      </c>
      <c r="Q11" s="3" t="s">
        <v>23</v>
      </c>
      <c r="R11" s="3" t="s">
        <v>23</v>
      </c>
      <c r="S11" s="3" t="s">
        <v>111</v>
      </c>
      <c r="T11" s="3">
        <v>4</v>
      </c>
      <c r="U11" s="4" t="s">
        <v>112</v>
      </c>
      <c r="V11" s="4" t="s">
        <v>113</v>
      </c>
      <c r="W11" s="4" t="s">
        <v>114</v>
      </c>
      <c r="X11" s="4" t="s">
        <v>115</v>
      </c>
      <c r="Y11" s="3" t="s">
        <v>30</v>
      </c>
      <c r="Z11" s="3" t="s">
        <v>30</v>
      </c>
      <c r="AA11" s="3">
        <v>10</v>
      </c>
      <c r="AB11" s="3" t="s">
        <v>116</v>
      </c>
      <c r="AC11" s="3"/>
      <c r="AD11" s="3"/>
      <c r="AE11" s="3"/>
      <c r="AF11" s="3"/>
      <c r="AG11" s="3"/>
      <c r="AH11" s="15" t="str">
        <f>IFERROR(VLOOKUP(Form_Responses[[#This Row],[Nombre Técnico]],'masa de trabajo'!$B:$C,2,0),"")</f>
        <v>-</v>
      </c>
      <c r="AI11" s="12" t="str">
        <f>VLOOKUP(Form_Responses[[#This Row],[Nombre Técnico]],'masa de trabajo'!$B:$E,3,0)</f>
        <v>-</v>
      </c>
      <c r="AJ11" s="12" t="str">
        <f>VLOOKUP(Form_Responses[[#This Row],[Nombre Técnico]],'masa de trabajo'!$B:$E,4,0)</f>
        <v>-</v>
      </c>
    </row>
    <row r="12" spans="1:36" ht="15.75" customHeight="1" x14ac:dyDescent="0.25">
      <c r="A12" s="1">
        <v>46248.497756516204</v>
      </c>
      <c r="B12" s="10">
        <v>8</v>
      </c>
      <c r="C12" s="3" t="s">
        <v>126</v>
      </c>
      <c r="D12" s="3" t="s">
        <v>127</v>
      </c>
      <c r="E12" s="3" t="s">
        <v>17</v>
      </c>
      <c r="F12" s="3" t="s">
        <v>18</v>
      </c>
      <c r="G12" s="3" t="s">
        <v>18</v>
      </c>
      <c r="I12" s="3" t="s">
        <v>128</v>
      </c>
      <c r="J12" s="3" t="s">
        <v>41</v>
      </c>
      <c r="K12" s="3" t="s">
        <v>23</v>
      </c>
      <c r="L12" s="3" t="s">
        <v>129</v>
      </c>
      <c r="M12" s="3" t="s">
        <v>23</v>
      </c>
      <c r="N12" s="3" t="s">
        <v>23</v>
      </c>
      <c r="Q12" s="3" t="s">
        <v>23</v>
      </c>
      <c r="R12" s="3" t="s">
        <v>23</v>
      </c>
      <c r="S12" s="3" t="s">
        <v>130</v>
      </c>
      <c r="T12" s="3">
        <v>4</v>
      </c>
      <c r="AB12" s="3" t="s">
        <v>131</v>
      </c>
      <c r="AC12" s="3" t="s">
        <v>23</v>
      </c>
      <c r="AD12" s="3" t="s">
        <v>23</v>
      </c>
      <c r="AE12" s="3" t="s">
        <v>21</v>
      </c>
      <c r="AF12" s="3" t="s">
        <v>23</v>
      </c>
      <c r="AG12" s="3" t="s">
        <v>21</v>
      </c>
      <c r="AH12" s="15" t="str">
        <f>IFERROR(VLOOKUP(Form_Responses[[#This Row],[Nombre Técnico]],'masa de trabajo'!$B:$C,2,0),"")</f>
        <v>SI</v>
      </c>
      <c r="AI12" s="12" t="str">
        <f>VLOOKUP(Form_Responses[[#This Row],[Nombre Técnico]],'masa de trabajo'!$B:$E,3,0)</f>
        <v>SI</v>
      </c>
      <c r="AJ12" s="12" t="str">
        <f>VLOOKUP(Form_Responses[[#This Row],[Nombre Técnico]],'masa de trabajo'!$B:$E,4,0)</f>
        <v>-</v>
      </c>
    </row>
    <row r="13" spans="1:36" ht="15.75" customHeight="1" x14ac:dyDescent="0.25">
      <c r="A13" s="1">
        <v>46251.615196585648</v>
      </c>
      <c r="B13" s="10">
        <v>7</v>
      </c>
      <c r="C13" s="3" t="s">
        <v>142</v>
      </c>
      <c r="D13" s="3" t="s">
        <v>143</v>
      </c>
      <c r="E13" s="3" t="s">
        <v>53</v>
      </c>
      <c r="F13" s="3" t="s">
        <v>18</v>
      </c>
      <c r="G13" s="3" t="s">
        <v>18</v>
      </c>
      <c r="I13" s="3" t="s">
        <v>128</v>
      </c>
      <c r="J13" s="3" t="s">
        <v>41</v>
      </c>
      <c r="K13" s="3" t="s">
        <v>23</v>
      </c>
      <c r="L13" s="3" t="s">
        <v>144</v>
      </c>
      <c r="M13" s="3" t="s">
        <v>21</v>
      </c>
      <c r="N13" s="3" t="s">
        <v>23</v>
      </c>
      <c r="Q13" s="3" t="s">
        <v>23</v>
      </c>
      <c r="R13" s="3" t="s">
        <v>23</v>
      </c>
      <c r="S13" s="3" t="s">
        <v>145</v>
      </c>
      <c r="T13" s="3">
        <v>4</v>
      </c>
      <c r="U13" s="4" t="s">
        <v>146</v>
      </c>
      <c r="V13" s="4" t="s">
        <v>147</v>
      </c>
      <c r="W13" s="4" t="s">
        <v>148</v>
      </c>
      <c r="X13" s="4" t="s">
        <v>149</v>
      </c>
      <c r="Y13" s="3" t="s">
        <v>30</v>
      </c>
      <c r="Z13" s="3" t="s">
        <v>30</v>
      </c>
      <c r="AA13" s="3">
        <v>8</v>
      </c>
      <c r="AB13" s="3" t="s">
        <v>150</v>
      </c>
      <c r="AD13" s="3" t="s">
        <v>23</v>
      </c>
      <c r="AE13" s="3" t="s">
        <v>21</v>
      </c>
      <c r="AG13" s="3" t="s">
        <v>21</v>
      </c>
      <c r="AH13" s="15" t="str">
        <f>IFERROR(VLOOKUP(Form_Responses[[#This Row],[Nombre Técnico]],'masa de trabajo'!$B:$C,2,0),"")</f>
        <v>-</v>
      </c>
      <c r="AI13" s="12" t="str">
        <f>VLOOKUP(Form_Responses[[#This Row],[Nombre Técnico]],'masa de trabajo'!$B:$E,3,0)</f>
        <v>-</v>
      </c>
      <c r="AJ13" s="12" t="str">
        <f>VLOOKUP(Form_Responses[[#This Row],[Nombre Técnico]],'masa de trabajo'!$B:$E,4,0)</f>
        <v>-</v>
      </c>
    </row>
    <row r="14" spans="1:36" ht="15.75" customHeight="1" x14ac:dyDescent="0.25">
      <c r="A14" s="1">
        <v>46251.636683425924</v>
      </c>
      <c r="B14" s="10">
        <v>1</v>
      </c>
      <c r="C14" s="3" t="s">
        <v>151</v>
      </c>
      <c r="D14" s="3" t="s">
        <v>143</v>
      </c>
      <c r="E14" s="3" t="s">
        <v>53</v>
      </c>
      <c r="F14" s="3" t="s">
        <v>18</v>
      </c>
      <c r="G14" s="3" t="s">
        <v>77</v>
      </c>
      <c r="I14" s="3" t="s">
        <v>128</v>
      </c>
      <c r="J14" s="3" t="s">
        <v>41</v>
      </c>
      <c r="K14" s="3" t="s">
        <v>21</v>
      </c>
      <c r="L14" s="3" t="s">
        <v>152</v>
      </c>
      <c r="M14" s="3" t="s">
        <v>21</v>
      </c>
      <c r="W14" s="4" t="s">
        <v>153</v>
      </c>
      <c r="X14" s="4" t="s">
        <v>154</v>
      </c>
      <c r="Y14" s="3" t="s">
        <v>72</v>
      </c>
      <c r="AA14" s="3">
        <v>7</v>
      </c>
      <c r="AB14" s="3" t="s">
        <v>155</v>
      </c>
      <c r="AD14" s="3" t="s">
        <v>23</v>
      </c>
      <c r="AE14" s="3" t="s">
        <v>21</v>
      </c>
      <c r="AG14" s="3" t="s">
        <v>21</v>
      </c>
      <c r="AH14" s="15" t="str">
        <f>IFERROR(VLOOKUP(Form_Responses[[#This Row],[Nombre Técnico]],'masa de trabajo'!$B:$C,2,0),"")</f>
        <v>-</v>
      </c>
      <c r="AI14" s="12" t="str">
        <f>VLOOKUP(Form_Responses[[#This Row],[Nombre Técnico]],'masa de trabajo'!$B:$E,3,0)</f>
        <v>-</v>
      </c>
      <c r="AJ14" s="12" t="str">
        <f>VLOOKUP(Form_Responses[[#This Row],[Nombre Técnico]],'masa de trabajo'!$B:$E,4,0)</f>
        <v>-</v>
      </c>
    </row>
    <row r="15" spans="1:36" ht="15.75" customHeight="1" x14ac:dyDescent="0.25">
      <c r="A15" s="1">
        <v>46252.401138136571</v>
      </c>
      <c r="B15" s="10">
        <v>9</v>
      </c>
      <c r="C15" s="3" t="s">
        <v>156</v>
      </c>
      <c r="D15" s="3" t="s">
        <v>157</v>
      </c>
      <c r="E15" s="3" t="s">
        <v>17</v>
      </c>
      <c r="F15" s="3" t="s">
        <v>18</v>
      </c>
      <c r="G15" s="3" t="s">
        <v>18</v>
      </c>
      <c r="I15" s="3" t="s">
        <v>19</v>
      </c>
      <c r="J15" s="3" t="s">
        <v>20</v>
      </c>
      <c r="K15" s="3" t="s">
        <v>23</v>
      </c>
      <c r="L15" s="3" t="s">
        <v>158</v>
      </c>
      <c r="N15" s="3" t="s">
        <v>23</v>
      </c>
      <c r="Q15" s="3" t="s">
        <v>23</v>
      </c>
      <c r="R15" s="3" t="s">
        <v>23</v>
      </c>
      <c r="S15" s="3" t="s">
        <v>159</v>
      </c>
      <c r="T15" s="3">
        <v>4</v>
      </c>
      <c r="U15" s="4" t="s">
        <v>160</v>
      </c>
      <c r="V15" s="4" t="s">
        <v>161</v>
      </c>
      <c r="X15" s="4" t="s">
        <v>162</v>
      </c>
      <c r="Y15" s="3" t="s">
        <v>30</v>
      </c>
      <c r="Z15" s="3" t="s">
        <v>30</v>
      </c>
      <c r="AA15" s="3">
        <v>7</v>
      </c>
      <c r="AB15" s="3" t="s">
        <v>163</v>
      </c>
      <c r="AC15" s="3" t="s">
        <v>23</v>
      </c>
      <c r="AD15" s="3" t="s">
        <v>23</v>
      </c>
      <c r="AE15" s="3" t="s">
        <v>21</v>
      </c>
      <c r="AF15" s="3" t="s">
        <v>23</v>
      </c>
      <c r="AG15" s="3" t="s">
        <v>21</v>
      </c>
      <c r="AH15" s="15" t="str">
        <f>IFERROR(VLOOKUP(Form_Responses[[#This Row],[Nombre Técnico]],'masa de trabajo'!$B:$C,2,0),"")</f>
        <v>-</v>
      </c>
      <c r="AI15" s="12" t="str">
        <f>VLOOKUP(Form_Responses[[#This Row],[Nombre Técnico]],'masa de trabajo'!$B:$E,3,0)</f>
        <v>-</v>
      </c>
      <c r="AJ15" s="12" t="str">
        <f>VLOOKUP(Form_Responses[[#This Row],[Nombre Técnico]],'masa de trabajo'!$B:$E,4,0)</f>
        <v>-</v>
      </c>
    </row>
    <row r="16" spans="1:36" ht="15.75" customHeight="1" x14ac:dyDescent="0.25">
      <c r="A16" s="1">
        <v>46252.407164965276</v>
      </c>
      <c r="B16" s="10">
        <v>7</v>
      </c>
      <c r="C16" s="3" t="s">
        <v>164</v>
      </c>
      <c r="D16" s="3" t="s">
        <v>165</v>
      </c>
      <c r="E16" s="3" t="s">
        <v>17</v>
      </c>
      <c r="F16" s="3" t="s">
        <v>77</v>
      </c>
      <c r="G16" s="3" t="s">
        <v>18</v>
      </c>
      <c r="I16" s="3" t="s">
        <v>19</v>
      </c>
      <c r="J16" s="3" t="s">
        <v>20</v>
      </c>
      <c r="K16" s="3" t="s">
        <v>23</v>
      </c>
      <c r="L16" s="3" t="s">
        <v>166</v>
      </c>
      <c r="M16" s="3" t="s">
        <v>23</v>
      </c>
      <c r="N16" s="3" t="s">
        <v>23</v>
      </c>
      <c r="R16" s="3" t="s">
        <v>23</v>
      </c>
      <c r="S16" s="3" t="s">
        <v>167</v>
      </c>
      <c r="T16" s="3">
        <v>3</v>
      </c>
      <c r="U16" s="4" t="s">
        <v>168</v>
      </c>
      <c r="V16" s="4" t="s">
        <v>169</v>
      </c>
      <c r="W16" s="4" t="s">
        <v>170</v>
      </c>
      <c r="X16" s="4" t="s">
        <v>171</v>
      </c>
      <c r="Y16" s="3" t="s">
        <v>72</v>
      </c>
      <c r="Z16" s="3" t="s">
        <v>72</v>
      </c>
      <c r="AA16" s="3">
        <v>4</v>
      </c>
      <c r="AB16" s="3" t="s">
        <v>172</v>
      </c>
      <c r="AC16" s="3" t="s">
        <v>23</v>
      </c>
      <c r="AD16" s="3" t="s">
        <v>23</v>
      </c>
      <c r="AE16" s="3" t="s">
        <v>21</v>
      </c>
      <c r="AF16" s="3" t="s">
        <v>23</v>
      </c>
      <c r="AG16" s="3" t="s">
        <v>21</v>
      </c>
      <c r="AH16" s="15" t="str">
        <f>IFERROR(VLOOKUP(Form_Responses[[#This Row],[Nombre Técnico]],'masa de trabajo'!$B:$C,2,0),"")</f>
        <v>-</v>
      </c>
      <c r="AI16" s="12" t="str">
        <f>VLOOKUP(Form_Responses[[#This Row],[Nombre Técnico]],'masa de trabajo'!$B:$E,3,0)</f>
        <v>-</v>
      </c>
      <c r="AJ16" s="12" t="str">
        <f>VLOOKUP(Form_Responses[[#This Row],[Nombre Técnico]],'masa de trabajo'!$B:$E,4,0)</f>
        <v>-</v>
      </c>
    </row>
    <row r="17" spans="1:36" ht="15.75" customHeight="1" x14ac:dyDescent="0.25">
      <c r="A17" s="1">
        <v>46252.439018576391</v>
      </c>
      <c r="B17" s="10">
        <v>6</v>
      </c>
      <c r="C17" s="3" t="s">
        <v>173</v>
      </c>
      <c r="D17" s="3" t="s">
        <v>174</v>
      </c>
      <c r="E17" s="3" t="s">
        <v>64</v>
      </c>
      <c r="F17" s="3" t="s">
        <v>18</v>
      </c>
      <c r="G17" s="3" t="s">
        <v>18</v>
      </c>
      <c r="H17" s="3" t="s">
        <v>175</v>
      </c>
      <c r="I17" s="3" t="s">
        <v>128</v>
      </c>
      <c r="J17" s="3" t="s">
        <v>20</v>
      </c>
      <c r="K17" s="3" t="s">
        <v>23</v>
      </c>
      <c r="L17" s="3" t="s">
        <v>176</v>
      </c>
      <c r="M17" s="3" t="s">
        <v>21</v>
      </c>
      <c r="N17" s="3" t="s">
        <v>23</v>
      </c>
      <c r="O17" s="3" t="s">
        <v>21</v>
      </c>
      <c r="P17" s="3">
        <v>1</v>
      </c>
      <c r="Q17" s="3" t="s">
        <v>77</v>
      </c>
      <c r="R17" s="3" t="s">
        <v>23</v>
      </c>
      <c r="S17" s="3" t="s">
        <v>177</v>
      </c>
      <c r="T17" s="3">
        <v>4</v>
      </c>
      <c r="U17" s="4" t="s">
        <v>178</v>
      </c>
      <c r="V17" s="4" t="s">
        <v>179</v>
      </c>
      <c r="X17" s="4" t="s">
        <v>180</v>
      </c>
      <c r="Y17" s="3" t="s">
        <v>30</v>
      </c>
      <c r="Z17" s="3" t="s">
        <v>72</v>
      </c>
      <c r="AA17" s="3">
        <v>3</v>
      </c>
      <c r="AB17" s="3" t="s">
        <v>181</v>
      </c>
      <c r="AC17" s="3" t="s">
        <v>77</v>
      </c>
      <c r="AD17" s="3" t="s">
        <v>23</v>
      </c>
      <c r="AE17" s="3" t="s">
        <v>21</v>
      </c>
      <c r="AF17" s="3" t="s">
        <v>23</v>
      </c>
      <c r="AG17" s="3" t="s">
        <v>21</v>
      </c>
      <c r="AH17" s="15" t="str">
        <f>IFERROR(VLOOKUP(Form_Responses[[#This Row],[Nombre Técnico]],'masa de trabajo'!$B:$C,2,0),"")</f>
        <v>SI</v>
      </c>
      <c r="AI17" s="12" t="str">
        <f>VLOOKUP(Form_Responses[[#This Row],[Nombre Técnico]],'masa de trabajo'!$B:$E,3,0)</f>
        <v>SI</v>
      </c>
      <c r="AJ17" s="12" t="str">
        <f>VLOOKUP(Form_Responses[[#This Row],[Nombre Técnico]],'masa de trabajo'!$B:$E,4,0)</f>
        <v>-</v>
      </c>
    </row>
    <row r="18" spans="1:36" ht="15.75" customHeight="1" x14ac:dyDescent="0.25">
      <c r="A18" s="1">
        <v>46252.569284895828</v>
      </c>
      <c r="B18" s="10">
        <v>9</v>
      </c>
      <c r="C18" s="3" t="s">
        <v>182</v>
      </c>
      <c r="D18" s="3" t="s">
        <v>143</v>
      </c>
      <c r="E18" s="3" t="s">
        <v>53</v>
      </c>
      <c r="F18" s="3" t="s">
        <v>18</v>
      </c>
      <c r="G18" s="3" t="s">
        <v>18</v>
      </c>
      <c r="I18" s="3" t="s">
        <v>19</v>
      </c>
      <c r="J18" s="3" t="s">
        <v>20</v>
      </c>
      <c r="K18" s="3" t="s">
        <v>23</v>
      </c>
      <c r="L18" s="3" t="s">
        <v>183</v>
      </c>
      <c r="M18" s="3" t="s">
        <v>23</v>
      </c>
      <c r="N18" s="3" t="s">
        <v>23</v>
      </c>
      <c r="P18" s="3">
        <v>2</v>
      </c>
      <c r="Q18" s="3" t="s">
        <v>23</v>
      </c>
      <c r="R18" s="3" t="s">
        <v>23</v>
      </c>
      <c r="T18" s="3">
        <v>4</v>
      </c>
      <c r="U18" s="4" t="s">
        <v>184</v>
      </c>
      <c r="V18" s="4" t="s">
        <v>185</v>
      </c>
      <c r="W18" s="4" t="s">
        <v>186</v>
      </c>
      <c r="X18" s="4" t="s">
        <v>187</v>
      </c>
      <c r="Y18" s="3" t="s">
        <v>30</v>
      </c>
      <c r="Z18" s="3" t="s">
        <v>30</v>
      </c>
      <c r="AA18" s="3">
        <v>9</v>
      </c>
      <c r="AB18" s="3" t="s">
        <v>188</v>
      </c>
      <c r="AC18" s="3" t="s">
        <v>77</v>
      </c>
      <c r="AD18" s="3" t="s">
        <v>23</v>
      </c>
      <c r="AE18" s="3" t="s">
        <v>21</v>
      </c>
      <c r="AF18" s="3" t="s">
        <v>23</v>
      </c>
      <c r="AG18" s="3" t="s">
        <v>21</v>
      </c>
      <c r="AH18" s="15" t="str">
        <f>IFERROR(VLOOKUP(Form_Responses[[#This Row],[Nombre Técnico]],'masa de trabajo'!$B:$C,2,0),"")</f>
        <v>-</v>
      </c>
      <c r="AI18" s="12" t="str">
        <f>VLOOKUP(Form_Responses[[#This Row],[Nombre Técnico]],'masa de trabajo'!$B:$E,3,0)</f>
        <v>-</v>
      </c>
      <c r="AJ18" s="12" t="str">
        <f>VLOOKUP(Form_Responses[[#This Row],[Nombre Técnico]],'masa de trabajo'!$B:$E,4,0)</f>
        <v>-</v>
      </c>
    </row>
    <row r="19" spans="1:36" ht="15.75" customHeight="1" x14ac:dyDescent="0.25">
      <c r="A19" s="1">
        <v>46252.579421759263</v>
      </c>
      <c r="B19" s="10">
        <v>7</v>
      </c>
      <c r="C19" s="3" t="s">
        <v>189</v>
      </c>
      <c r="D19" s="3" t="s">
        <v>63</v>
      </c>
      <c r="E19" s="3" t="s">
        <v>53</v>
      </c>
      <c r="F19" s="3" t="s">
        <v>18</v>
      </c>
      <c r="G19" s="3" t="s">
        <v>18</v>
      </c>
      <c r="I19" s="3" t="s">
        <v>128</v>
      </c>
      <c r="J19" s="3" t="s">
        <v>41</v>
      </c>
      <c r="K19" s="3" t="s">
        <v>23</v>
      </c>
      <c r="L19" s="3" t="s">
        <v>190</v>
      </c>
      <c r="M19" s="3" t="s">
        <v>23</v>
      </c>
      <c r="N19" s="3" t="s">
        <v>21</v>
      </c>
      <c r="Q19" s="3" t="s">
        <v>23</v>
      </c>
      <c r="R19" s="3" t="s">
        <v>23</v>
      </c>
      <c r="S19" s="3" t="s">
        <v>191</v>
      </c>
      <c r="T19" s="3">
        <v>4</v>
      </c>
      <c r="U19" s="4" t="s">
        <v>192</v>
      </c>
      <c r="V19" s="4" t="s">
        <v>193</v>
      </c>
      <c r="W19" s="4" t="s">
        <v>194</v>
      </c>
      <c r="X19" s="4" t="s">
        <v>195</v>
      </c>
      <c r="Y19" s="3" t="s">
        <v>30</v>
      </c>
      <c r="Z19" s="3" t="s">
        <v>30</v>
      </c>
      <c r="AA19" s="3">
        <v>9</v>
      </c>
      <c r="AB19" s="3" t="s">
        <v>196</v>
      </c>
      <c r="AD19" s="3" t="s">
        <v>23</v>
      </c>
      <c r="AE19" s="3" t="s">
        <v>21</v>
      </c>
      <c r="AG19" s="3" t="s">
        <v>21</v>
      </c>
      <c r="AH19" s="15" t="str">
        <f>IFERROR(VLOOKUP(Form_Responses[[#This Row],[Nombre Técnico]],'masa de trabajo'!$B:$C,2,0),"")</f>
        <v>SI</v>
      </c>
      <c r="AI19" s="12" t="str">
        <f>VLOOKUP(Form_Responses[[#This Row],[Nombre Técnico]],'masa de trabajo'!$B:$E,3,0)</f>
        <v>SI</v>
      </c>
      <c r="AJ19" s="12" t="str">
        <f>VLOOKUP(Form_Responses[[#This Row],[Nombre Técnico]],'masa de trabajo'!$B:$E,4,0)</f>
        <v>-</v>
      </c>
    </row>
    <row r="20" spans="1:36" ht="15.75" customHeight="1" x14ac:dyDescent="0.25">
      <c r="A20" s="1">
        <v>46252.687401099538</v>
      </c>
      <c r="B20" s="10">
        <v>8</v>
      </c>
      <c r="C20" s="3" t="s">
        <v>197</v>
      </c>
      <c r="D20" s="3" t="s">
        <v>101</v>
      </c>
      <c r="E20" s="3" t="s">
        <v>17</v>
      </c>
      <c r="F20" s="3" t="s">
        <v>18</v>
      </c>
      <c r="G20" s="3" t="s">
        <v>18</v>
      </c>
      <c r="I20" s="3" t="s">
        <v>19</v>
      </c>
      <c r="J20" s="3" t="s">
        <v>20</v>
      </c>
      <c r="K20" s="3" t="s">
        <v>23</v>
      </c>
      <c r="L20" s="3" t="s">
        <v>198</v>
      </c>
      <c r="M20" s="3" t="s">
        <v>21</v>
      </c>
      <c r="N20" s="3" t="s">
        <v>23</v>
      </c>
      <c r="P20" s="3">
        <v>3</v>
      </c>
      <c r="Q20" s="3" t="s">
        <v>23</v>
      </c>
      <c r="R20" s="3" t="s">
        <v>23</v>
      </c>
      <c r="T20" s="3">
        <v>3</v>
      </c>
      <c r="U20" s="4" t="s">
        <v>199</v>
      </c>
      <c r="V20" s="4" t="s">
        <v>200</v>
      </c>
      <c r="W20" s="4" t="s">
        <v>201</v>
      </c>
      <c r="X20" s="4" t="s">
        <v>202</v>
      </c>
      <c r="Y20" s="3" t="s">
        <v>72</v>
      </c>
      <c r="Z20" s="3" t="s">
        <v>30</v>
      </c>
      <c r="AA20" s="3">
        <v>5</v>
      </c>
      <c r="AB20" s="3" t="s">
        <v>203</v>
      </c>
      <c r="AC20" s="3" t="s">
        <v>23</v>
      </c>
      <c r="AD20" s="3" t="s">
        <v>23</v>
      </c>
      <c r="AE20" s="3" t="s">
        <v>21</v>
      </c>
      <c r="AF20" s="3" t="s">
        <v>23</v>
      </c>
      <c r="AG20" s="3" t="s">
        <v>21</v>
      </c>
      <c r="AH20" s="15" t="str">
        <f>IFERROR(VLOOKUP(Form_Responses[[#This Row],[Nombre Técnico]],'masa de trabajo'!$B:$C,2,0),"")</f>
        <v>SI</v>
      </c>
      <c r="AI20" s="12" t="str">
        <f>VLOOKUP(Form_Responses[[#This Row],[Nombre Técnico]],'masa de trabajo'!$B:$E,3,0)</f>
        <v>SI</v>
      </c>
      <c r="AJ20" s="12" t="str">
        <f>VLOOKUP(Form_Responses[[#This Row],[Nombre Técnico]],'masa de trabajo'!$B:$E,4,0)</f>
        <v>-</v>
      </c>
    </row>
    <row r="21" spans="1:36" ht="15.75" customHeight="1" x14ac:dyDescent="0.25">
      <c r="A21" s="1">
        <v>46253.408800335645</v>
      </c>
      <c r="B21" s="10">
        <v>7</v>
      </c>
      <c r="C21" s="3" t="s">
        <v>204</v>
      </c>
      <c r="D21" s="3" t="s">
        <v>84</v>
      </c>
      <c r="E21" s="3" t="s">
        <v>64</v>
      </c>
      <c r="F21" s="3" t="s">
        <v>18</v>
      </c>
      <c r="G21" s="3" t="s">
        <v>18</v>
      </c>
      <c r="I21" s="3" t="s">
        <v>19</v>
      </c>
      <c r="J21" s="3" t="s">
        <v>41</v>
      </c>
      <c r="K21" s="3" t="s">
        <v>23</v>
      </c>
      <c r="L21" s="3" t="s">
        <v>205</v>
      </c>
      <c r="M21" s="3" t="s">
        <v>23</v>
      </c>
      <c r="N21" s="3" t="s">
        <v>23</v>
      </c>
      <c r="O21" s="3" t="s">
        <v>21</v>
      </c>
      <c r="P21" s="3">
        <v>2</v>
      </c>
      <c r="Q21" s="3" t="s">
        <v>77</v>
      </c>
      <c r="R21" s="3" t="s">
        <v>23</v>
      </c>
      <c r="S21" s="3" t="s">
        <v>206</v>
      </c>
      <c r="T21" s="3">
        <v>4</v>
      </c>
      <c r="U21" s="4" t="s">
        <v>207</v>
      </c>
      <c r="V21" s="4" t="s">
        <v>208</v>
      </c>
      <c r="X21" s="4" t="s">
        <v>209</v>
      </c>
      <c r="Y21" s="3" t="s">
        <v>30</v>
      </c>
      <c r="Z21" s="3" t="s">
        <v>72</v>
      </c>
      <c r="AA21" s="3">
        <v>5</v>
      </c>
      <c r="AB21" s="3" t="s">
        <v>210</v>
      </c>
      <c r="AC21" s="3" t="s">
        <v>211</v>
      </c>
      <c r="AD21" s="3" t="s">
        <v>23</v>
      </c>
      <c r="AE21" s="3" t="s">
        <v>21</v>
      </c>
      <c r="AF21" s="3" t="s">
        <v>23</v>
      </c>
      <c r="AG21" s="3" t="s">
        <v>21</v>
      </c>
      <c r="AH21" s="15" t="str">
        <f>IFERROR(VLOOKUP(Form_Responses[[#This Row],[Nombre Técnico]],'masa de trabajo'!$B:$C,2,0),"")</f>
        <v>SI</v>
      </c>
      <c r="AI21" s="12" t="str">
        <f>VLOOKUP(Form_Responses[[#This Row],[Nombre Técnico]],'masa de trabajo'!$B:$E,3,0)</f>
        <v>SI</v>
      </c>
      <c r="AJ21" s="12" t="str">
        <f>VLOOKUP(Form_Responses[[#This Row],[Nombre Técnico]],'masa de trabajo'!$B:$E,4,0)</f>
        <v>-</v>
      </c>
    </row>
    <row r="22" spans="1:36" ht="15.75" customHeight="1" x14ac:dyDescent="0.25">
      <c r="A22" s="1">
        <v>46254.036589560186</v>
      </c>
      <c r="B22" s="10">
        <v>9</v>
      </c>
      <c r="C22" s="3" t="s">
        <v>212</v>
      </c>
      <c r="D22" s="3" t="s">
        <v>63</v>
      </c>
      <c r="E22" s="3" t="s">
        <v>53</v>
      </c>
      <c r="F22" s="3" t="s">
        <v>18</v>
      </c>
      <c r="G22" s="3" t="s">
        <v>18</v>
      </c>
      <c r="I22" s="3" t="s">
        <v>19</v>
      </c>
      <c r="J22" s="3" t="s">
        <v>20</v>
      </c>
      <c r="L22" s="3" t="s">
        <v>213</v>
      </c>
      <c r="M22" s="3" t="s">
        <v>23</v>
      </c>
      <c r="N22" s="3" t="s">
        <v>23</v>
      </c>
      <c r="Q22" s="3" t="s">
        <v>23</v>
      </c>
      <c r="R22" s="3" t="s">
        <v>23</v>
      </c>
      <c r="S22" s="3" t="s">
        <v>214</v>
      </c>
      <c r="T22" s="3">
        <v>4</v>
      </c>
      <c r="U22" s="4" t="s">
        <v>215</v>
      </c>
      <c r="V22" s="4" t="s">
        <v>216</v>
      </c>
      <c r="W22" s="4" t="s">
        <v>217</v>
      </c>
      <c r="X22" s="4" t="s">
        <v>218</v>
      </c>
      <c r="Y22" s="3" t="s">
        <v>30</v>
      </c>
      <c r="Z22" s="3" t="s">
        <v>30</v>
      </c>
      <c r="AA22" s="3">
        <v>10</v>
      </c>
      <c r="AB22" s="3" t="s">
        <v>219</v>
      </c>
      <c r="AC22" s="3" t="s">
        <v>23</v>
      </c>
      <c r="AD22" s="3" t="s">
        <v>23</v>
      </c>
      <c r="AE22" s="3" t="s">
        <v>21</v>
      </c>
      <c r="AF22" s="3" t="s">
        <v>23</v>
      </c>
      <c r="AG22" s="3" t="s">
        <v>21</v>
      </c>
      <c r="AH22" s="15" t="str">
        <f>IFERROR(VLOOKUP(Form_Responses[[#This Row],[Nombre Técnico]],'masa de trabajo'!$B:$C,2,0),"")</f>
        <v>SI</v>
      </c>
      <c r="AI22" s="12" t="str">
        <f>VLOOKUP(Form_Responses[[#This Row],[Nombre Técnico]],'masa de trabajo'!$B:$E,3,0)</f>
        <v>SI</v>
      </c>
      <c r="AJ22" s="12" t="str">
        <f>VLOOKUP(Form_Responses[[#This Row],[Nombre Técnico]],'masa de trabajo'!$B:$E,4,0)</f>
        <v>-</v>
      </c>
    </row>
    <row r="23" spans="1:36" ht="15.75" customHeight="1" x14ac:dyDescent="0.25">
      <c r="A23" s="1">
        <v>46254.792688402777</v>
      </c>
      <c r="B23" s="10">
        <v>5</v>
      </c>
      <c r="C23" s="3" t="s">
        <v>220</v>
      </c>
      <c r="D23" s="3" t="s">
        <v>221</v>
      </c>
      <c r="E23" s="3" t="s">
        <v>53</v>
      </c>
      <c r="F23" s="3" t="s">
        <v>18</v>
      </c>
      <c r="G23" s="3" t="s">
        <v>18</v>
      </c>
      <c r="I23" s="3" t="s">
        <v>19</v>
      </c>
      <c r="J23" s="3" t="s">
        <v>54</v>
      </c>
      <c r="L23" s="3" t="s">
        <v>222</v>
      </c>
      <c r="M23" s="3" t="s">
        <v>23</v>
      </c>
      <c r="O23" s="3" t="s">
        <v>23</v>
      </c>
      <c r="P23" s="3">
        <v>4</v>
      </c>
      <c r="Q23" s="3" t="s">
        <v>23</v>
      </c>
      <c r="R23" s="3" t="s">
        <v>23</v>
      </c>
      <c r="S23" s="3" t="s">
        <v>223</v>
      </c>
      <c r="T23" s="3">
        <v>4</v>
      </c>
      <c r="U23" s="4" t="s">
        <v>224</v>
      </c>
      <c r="V23" s="4" t="s">
        <v>225</v>
      </c>
      <c r="W23" s="4" t="s">
        <v>226</v>
      </c>
      <c r="X23" s="4" t="s">
        <v>227</v>
      </c>
      <c r="Y23" s="3" t="s">
        <v>30</v>
      </c>
      <c r="Z23" s="3" t="s">
        <v>30</v>
      </c>
      <c r="AA23" s="3">
        <v>9</v>
      </c>
      <c r="AB23" s="3" t="s">
        <v>228</v>
      </c>
      <c r="AH23" s="15" t="str">
        <f>IFERROR(VLOOKUP(Form_Responses[[#This Row],[Nombre Técnico]],'masa de trabajo'!$B:$C,2,0),"")</f>
        <v>-</v>
      </c>
      <c r="AI23" s="12" t="str">
        <f>VLOOKUP(Form_Responses[[#This Row],[Nombre Técnico]],'masa de trabajo'!$B:$E,3,0)</f>
        <v>-</v>
      </c>
      <c r="AJ23" s="12" t="str">
        <f>VLOOKUP(Form_Responses[[#This Row],[Nombre Técnico]],'masa de trabajo'!$B:$E,4,0)</f>
        <v>-</v>
      </c>
    </row>
    <row r="24" spans="1:36" ht="15.75" customHeight="1" x14ac:dyDescent="0.25">
      <c r="A24" s="1">
        <v>46255.391508726854</v>
      </c>
      <c r="B24" s="10">
        <v>7</v>
      </c>
      <c r="C24" s="3" t="s">
        <v>229</v>
      </c>
      <c r="D24" s="3" t="s">
        <v>221</v>
      </c>
      <c r="E24" s="3" t="s">
        <v>64</v>
      </c>
      <c r="F24" s="3" t="s">
        <v>18</v>
      </c>
      <c r="G24" s="3" t="s">
        <v>18</v>
      </c>
      <c r="I24" s="3" t="s">
        <v>19</v>
      </c>
      <c r="J24" s="3" t="s">
        <v>41</v>
      </c>
      <c r="K24" s="3" t="s">
        <v>21</v>
      </c>
      <c r="L24" s="3" t="s">
        <v>230</v>
      </c>
      <c r="M24" s="3" t="s">
        <v>21</v>
      </c>
      <c r="N24" s="3" t="s">
        <v>23</v>
      </c>
      <c r="O24" s="3" t="s">
        <v>23</v>
      </c>
      <c r="P24" s="3">
        <v>4</v>
      </c>
      <c r="Q24" s="3" t="s">
        <v>23</v>
      </c>
      <c r="R24" s="3" t="s">
        <v>23</v>
      </c>
      <c r="S24" s="3" t="s">
        <v>231</v>
      </c>
      <c r="T24" s="3">
        <v>4</v>
      </c>
      <c r="U24" s="4" t="s">
        <v>232</v>
      </c>
      <c r="V24" s="4" t="s">
        <v>233</v>
      </c>
      <c r="W24" s="4" t="s">
        <v>234</v>
      </c>
      <c r="X24" s="4" t="s">
        <v>235</v>
      </c>
      <c r="Y24" s="3" t="s">
        <v>30</v>
      </c>
      <c r="Z24" s="3" t="s">
        <v>72</v>
      </c>
      <c r="AA24" s="3">
        <v>4</v>
      </c>
      <c r="AB24" s="3" t="s">
        <v>236</v>
      </c>
      <c r="AC24" s="3" t="s">
        <v>23</v>
      </c>
      <c r="AD24" s="3" t="s">
        <v>23</v>
      </c>
      <c r="AE24" s="3" t="s">
        <v>21</v>
      </c>
      <c r="AF24" s="3" t="s">
        <v>23</v>
      </c>
      <c r="AG24" s="3" t="s">
        <v>21</v>
      </c>
      <c r="AH24" s="15" t="str">
        <f>IFERROR(VLOOKUP(Form_Responses[[#This Row],[Nombre Técnico]],'masa de trabajo'!$B:$C,2,0),"")</f>
        <v>-</v>
      </c>
      <c r="AI24" s="12" t="str">
        <f>VLOOKUP(Form_Responses[[#This Row],[Nombre Técnico]],'masa de trabajo'!$B:$E,3,0)</f>
        <v>-</v>
      </c>
      <c r="AJ24" s="12" t="str">
        <f>VLOOKUP(Form_Responses[[#This Row],[Nombre Técnico]],'masa de trabajo'!$B:$E,4,0)</f>
        <v>-</v>
      </c>
    </row>
    <row r="25" spans="1:36" ht="15.75" customHeight="1" x14ac:dyDescent="0.25">
      <c r="A25" s="1">
        <v>46258.603575879628</v>
      </c>
      <c r="B25" s="10">
        <v>7</v>
      </c>
      <c r="C25" s="3" t="s">
        <v>238</v>
      </c>
      <c r="D25" s="3" t="s">
        <v>75</v>
      </c>
      <c r="E25" s="3" t="s">
        <v>53</v>
      </c>
      <c r="F25" s="3" t="s">
        <v>18</v>
      </c>
      <c r="G25" s="3" t="s">
        <v>18</v>
      </c>
      <c r="I25" s="3" t="s">
        <v>128</v>
      </c>
      <c r="J25" s="3" t="s">
        <v>41</v>
      </c>
      <c r="K25" s="3" t="s">
        <v>23</v>
      </c>
      <c r="L25" s="3" t="s">
        <v>239</v>
      </c>
      <c r="N25" s="3" t="s">
        <v>23</v>
      </c>
      <c r="O25" s="3" t="s">
        <v>23</v>
      </c>
      <c r="P25" s="3">
        <v>5</v>
      </c>
      <c r="Q25" s="3" t="s">
        <v>23</v>
      </c>
      <c r="R25" s="3" t="s">
        <v>23</v>
      </c>
      <c r="S25" s="3" t="s">
        <v>240</v>
      </c>
      <c r="T25" s="3">
        <v>4</v>
      </c>
      <c r="U25" s="4" t="s">
        <v>241</v>
      </c>
      <c r="V25" s="4" t="s">
        <v>242</v>
      </c>
      <c r="X25" s="4" t="s">
        <v>243</v>
      </c>
      <c r="Y25" s="3" t="s">
        <v>30</v>
      </c>
      <c r="Z25" s="3" t="s">
        <v>30</v>
      </c>
      <c r="AA25" s="3">
        <v>8</v>
      </c>
      <c r="AB25" s="3" t="s">
        <v>244</v>
      </c>
      <c r="AD25" s="3" t="s">
        <v>23</v>
      </c>
      <c r="AE25" s="3" t="s">
        <v>21</v>
      </c>
      <c r="AG25" s="3" t="s">
        <v>21</v>
      </c>
      <c r="AH25" s="15" t="str">
        <f>IFERROR(VLOOKUP(Form_Responses[[#This Row],[Nombre Técnico]],'masa de trabajo'!$B:$C,2,0),"")</f>
        <v>SI</v>
      </c>
      <c r="AI25" s="12" t="str">
        <f>VLOOKUP(Form_Responses[[#This Row],[Nombre Técnico]],'masa de trabajo'!$B:$E,3,0)</f>
        <v>-</v>
      </c>
      <c r="AJ25" s="12" t="str">
        <f>VLOOKUP(Form_Responses[[#This Row],[Nombre Técnico]],'masa de trabajo'!$B:$E,4,0)</f>
        <v>-</v>
      </c>
    </row>
    <row r="26" spans="1:36" ht="15.75" customHeight="1" x14ac:dyDescent="0.25">
      <c r="A26" s="1">
        <v>46258.674336504628</v>
      </c>
      <c r="B26" s="10">
        <v>7</v>
      </c>
      <c r="C26" s="3" t="s">
        <v>245</v>
      </c>
      <c r="D26" s="3" t="s">
        <v>221</v>
      </c>
      <c r="E26" s="3" t="s">
        <v>53</v>
      </c>
      <c r="F26" s="3" t="s">
        <v>18</v>
      </c>
      <c r="G26" s="3" t="s">
        <v>18</v>
      </c>
      <c r="I26" s="3" t="s">
        <v>128</v>
      </c>
      <c r="J26" s="3" t="s">
        <v>20</v>
      </c>
      <c r="K26" s="3" t="s">
        <v>23</v>
      </c>
      <c r="L26" s="3" t="s">
        <v>246</v>
      </c>
      <c r="M26" s="3" t="s">
        <v>21</v>
      </c>
      <c r="N26" s="3" t="s">
        <v>23</v>
      </c>
      <c r="O26" s="3" t="s">
        <v>21</v>
      </c>
      <c r="Q26" s="3" t="s">
        <v>23</v>
      </c>
      <c r="R26" s="3" t="s">
        <v>23</v>
      </c>
      <c r="S26" s="3" t="s">
        <v>247</v>
      </c>
      <c r="T26" s="3">
        <v>4</v>
      </c>
      <c r="U26" s="4" t="s">
        <v>248</v>
      </c>
      <c r="V26" s="4" t="s">
        <v>249</v>
      </c>
      <c r="W26" s="4" t="s">
        <v>250</v>
      </c>
      <c r="Y26" s="3" t="s">
        <v>30</v>
      </c>
      <c r="Z26" s="3" t="s">
        <v>30</v>
      </c>
      <c r="AA26" s="3">
        <v>8</v>
      </c>
      <c r="AB26" s="3" t="s">
        <v>251</v>
      </c>
      <c r="AD26" s="3" t="s">
        <v>23</v>
      </c>
      <c r="AE26" s="3" t="s">
        <v>21</v>
      </c>
      <c r="AG26" s="3" t="s">
        <v>21</v>
      </c>
      <c r="AH26" s="15" t="str">
        <f>IFERROR(VLOOKUP(Form_Responses[[#This Row],[Nombre Técnico]],'masa de trabajo'!$B:$C,2,0),"")</f>
        <v>-</v>
      </c>
      <c r="AI26" s="12" t="str">
        <f>VLOOKUP(Form_Responses[[#This Row],[Nombre Técnico]],'masa de trabajo'!$B:$E,3,0)</f>
        <v>-</v>
      </c>
      <c r="AJ26" s="12" t="str">
        <f>VLOOKUP(Form_Responses[[#This Row],[Nombre Técnico]],'masa de trabajo'!$B:$E,4,0)</f>
        <v>-</v>
      </c>
    </row>
    <row r="27" spans="1:36" ht="15.75" customHeight="1" x14ac:dyDescent="0.25">
      <c r="A27" s="1">
        <v>46260.768395266205</v>
      </c>
      <c r="B27" s="10">
        <v>6</v>
      </c>
      <c r="C27" s="3" t="s">
        <v>252</v>
      </c>
      <c r="D27" s="3" t="s">
        <v>253</v>
      </c>
      <c r="E27" s="3" t="s">
        <v>53</v>
      </c>
      <c r="F27" s="3" t="s">
        <v>18</v>
      </c>
      <c r="G27" s="3" t="s">
        <v>18</v>
      </c>
      <c r="I27" s="3" t="s">
        <v>128</v>
      </c>
      <c r="J27" s="3" t="s">
        <v>20</v>
      </c>
      <c r="K27" s="3" t="s">
        <v>23</v>
      </c>
      <c r="L27" s="3" t="s">
        <v>254</v>
      </c>
      <c r="N27" s="3" t="s">
        <v>21</v>
      </c>
      <c r="P27" s="3">
        <v>1</v>
      </c>
      <c r="Q27" s="3" t="s">
        <v>23</v>
      </c>
      <c r="R27" s="3" t="s">
        <v>23</v>
      </c>
      <c r="S27" s="3" t="s">
        <v>255</v>
      </c>
      <c r="T27" s="3">
        <v>4</v>
      </c>
      <c r="U27" s="4" t="s">
        <v>256</v>
      </c>
      <c r="V27" s="4" t="s">
        <v>257</v>
      </c>
      <c r="W27" s="4" t="s">
        <v>258</v>
      </c>
      <c r="X27" s="4" t="s">
        <v>259</v>
      </c>
      <c r="Y27" s="3" t="s">
        <v>30</v>
      </c>
      <c r="Z27" s="3" t="s">
        <v>30</v>
      </c>
      <c r="AA27" s="3">
        <v>9</v>
      </c>
      <c r="AB27" s="3" t="s">
        <v>260</v>
      </c>
      <c r="AD27" s="3" t="s">
        <v>23</v>
      </c>
      <c r="AE27" s="3" t="s">
        <v>21</v>
      </c>
      <c r="AG27" s="3" t="s">
        <v>21</v>
      </c>
      <c r="AH27" s="15" t="str">
        <f>IFERROR(VLOOKUP(Form_Responses[[#This Row],[Nombre Técnico]],'masa de trabajo'!$B:$C,2,0),"")</f>
        <v>SI</v>
      </c>
      <c r="AI27" s="12" t="str">
        <f>VLOOKUP(Form_Responses[[#This Row],[Nombre Técnico]],'masa de trabajo'!$B:$E,3,0)</f>
        <v>SI</v>
      </c>
      <c r="AJ27" s="12" t="str">
        <f>VLOOKUP(Form_Responses[[#This Row],[Nombre Técnico]],'masa de trabajo'!$B:$E,4,0)</f>
        <v>-</v>
      </c>
    </row>
    <row r="28" spans="1:36" ht="15.75" customHeight="1" x14ac:dyDescent="0.25">
      <c r="A28" s="1">
        <v>46261.683956793982</v>
      </c>
      <c r="B28" s="10">
        <v>10</v>
      </c>
      <c r="C28" s="3" t="s">
        <v>261</v>
      </c>
      <c r="D28" s="3" t="s">
        <v>84</v>
      </c>
      <c r="E28" s="3" t="s">
        <v>53</v>
      </c>
      <c r="F28" s="3" t="s">
        <v>18</v>
      </c>
      <c r="G28" s="3" t="s">
        <v>18</v>
      </c>
      <c r="I28" s="3" t="s">
        <v>19</v>
      </c>
      <c r="J28" s="3" t="s">
        <v>41</v>
      </c>
      <c r="K28" s="3" t="s">
        <v>23</v>
      </c>
      <c r="L28" s="3" t="s">
        <v>262</v>
      </c>
      <c r="M28" s="3" t="s">
        <v>23</v>
      </c>
      <c r="N28" s="3" t="s">
        <v>23</v>
      </c>
      <c r="Q28" s="3" t="s">
        <v>23</v>
      </c>
      <c r="R28" s="3" t="s">
        <v>23</v>
      </c>
      <c r="S28" s="3" t="s">
        <v>263</v>
      </c>
      <c r="T28" s="3">
        <v>4</v>
      </c>
      <c r="U28" s="4" t="s">
        <v>264</v>
      </c>
      <c r="V28" s="4" t="s">
        <v>265</v>
      </c>
      <c r="W28" s="4" t="s">
        <v>266</v>
      </c>
      <c r="X28" s="4" t="s">
        <v>267</v>
      </c>
      <c r="Y28" s="3" t="s">
        <v>30</v>
      </c>
      <c r="Z28" s="3" t="s">
        <v>30</v>
      </c>
      <c r="AA28" s="3">
        <v>10</v>
      </c>
      <c r="AB28" s="3" t="s">
        <v>268</v>
      </c>
      <c r="AC28" s="3" t="s">
        <v>23</v>
      </c>
      <c r="AD28" s="3" t="s">
        <v>23</v>
      </c>
      <c r="AE28" s="3" t="s">
        <v>21</v>
      </c>
      <c r="AF28" s="3" t="s">
        <v>23</v>
      </c>
      <c r="AG28" s="3" t="s">
        <v>21</v>
      </c>
      <c r="AH28" s="15" t="str">
        <f>IFERROR(VLOOKUP(Form_Responses[[#This Row],[Nombre Técnico]],'masa de trabajo'!$B:$C,2,0),"")</f>
        <v>SI</v>
      </c>
      <c r="AI28" s="12" t="str">
        <f>VLOOKUP(Form_Responses[[#This Row],[Nombre Técnico]],'masa de trabajo'!$B:$E,3,0)</f>
        <v>SI</v>
      </c>
      <c r="AJ28" s="12" t="str">
        <f>VLOOKUP(Form_Responses[[#This Row],[Nombre Técnico]],'masa de trabajo'!$B:$E,4,0)</f>
        <v>-</v>
      </c>
    </row>
    <row r="29" spans="1:36" ht="15.75" customHeight="1" x14ac:dyDescent="0.25">
      <c r="A29" s="1">
        <v>46266.650122476851</v>
      </c>
      <c r="B29" s="10">
        <v>8</v>
      </c>
      <c r="C29" s="3" t="s">
        <v>269</v>
      </c>
      <c r="D29" s="3" t="s">
        <v>221</v>
      </c>
      <c r="E29" s="3" t="s">
        <v>53</v>
      </c>
      <c r="F29" s="3" t="s">
        <v>18</v>
      </c>
      <c r="G29" s="3" t="s">
        <v>18</v>
      </c>
      <c r="I29" s="3" t="s">
        <v>19</v>
      </c>
      <c r="J29" s="3" t="s">
        <v>41</v>
      </c>
      <c r="L29" s="3" t="s">
        <v>270</v>
      </c>
      <c r="M29" s="3" t="s">
        <v>23</v>
      </c>
      <c r="N29" s="3" t="s">
        <v>23</v>
      </c>
      <c r="Q29" s="3" t="s">
        <v>23</v>
      </c>
      <c r="R29" s="3" t="s">
        <v>23</v>
      </c>
      <c r="T29" s="3">
        <v>4</v>
      </c>
      <c r="U29" s="4" t="s">
        <v>271</v>
      </c>
      <c r="V29" s="4" t="s">
        <v>272</v>
      </c>
      <c r="W29" s="4" t="s">
        <v>273</v>
      </c>
      <c r="X29" s="4" t="s">
        <v>274</v>
      </c>
      <c r="Y29" s="3" t="s">
        <v>30</v>
      </c>
      <c r="Z29" s="3" t="s">
        <v>30</v>
      </c>
      <c r="AA29" s="3">
        <v>9</v>
      </c>
      <c r="AB29" s="3" t="s">
        <v>275</v>
      </c>
      <c r="AC29" s="3" t="s">
        <v>77</v>
      </c>
      <c r="AD29" s="3" t="s">
        <v>23</v>
      </c>
      <c r="AE29" s="3" t="s">
        <v>21</v>
      </c>
      <c r="AF29" s="3" t="s">
        <v>23</v>
      </c>
      <c r="AG29" s="3" t="s">
        <v>21</v>
      </c>
      <c r="AH29" s="15" t="str">
        <f>IFERROR(VLOOKUP(Form_Responses[[#This Row],[Nombre Técnico]],'masa de trabajo'!$B:$C,2,0),"")</f>
        <v>-</v>
      </c>
      <c r="AI29" s="12" t="str">
        <f>VLOOKUP(Form_Responses[[#This Row],[Nombre Técnico]],'masa de trabajo'!$B:$E,3,0)</f>
        <v>-</v>
      </c>
      <c r="AJ29" s="12" t="str">
        <f>VLOOKUP(Form_Responses[[#This Row],[Nombre Técnico]],'masa de trabajo'!$B:$E,4,0)</f>
        <v>-</v>
      </c>
    </row>
    <row r="30" spans="1:36" ht="15.75" customHeight="1" x14ac:dyDescent="0.25">
      <c r="A30" s="1">
        <v>46266.829720358801</v>
      </c>
      <c r="B30" s="10">
        <v>9</v>
      </c>
      <c r="C30" s="3" t="s">
        <v>276</v>
      </c>
      <c r="D30" s="3" t="s">
        <v>277</v>
      </c>
      <c r="E30" s="3" t="s">
        <v>53</v>
      </c>
      <c r="F30" s="3" t="s">
        <v>18</v>
      </c>
      <c r="G30" s="3" t="s">
        <v>18</v>
      </c>
      <c r="I30" s="3" t="s">
        <v>19</v>
      </c>
      <c r="J30" s="3" t="s">
        <v>41</v>
      </c>
      <c r="K30" s="3" t="s">
        <v>23</v>
      </c>
      <c r="L30" s="3" t="s">
        <v>278</v>
      </c>
      <c r="M30" s="3" t="s">
        <v>23</v>
      </c>
      <c r="N30" s="3" t="s">
        <v>23</v>
      </c>
      <c r="P30" s="3">
        <v>1</v>
      </c>
      <c r="Q30" s="3" t="s">
        <v>23</v>
      </c>
      <c r="R30" s="3" t="s">
        <v>23</v>
      </c>
      <c r="S30" s="3" t="s">
        <v>279</v>
      </c>
      <c r="T30" s="3">
        <v>4</v>
      </c>
      <c r="U30" s="4" t="s">
        <v>280</v>
      </c>
      <c r="V30" s="4" t="s">
        <v>281</v>
      </c>
      <c r="W30" s="4" t="s">
        <v>282</v>
      </c>
      <c r="X30" s="4" t="s">
        <v>283</v>
      </c>
      <c r="Y30" s="3" t="s">
        <v>30</v>
      </c>
      <c r="Z30" s="3" t="s">
        <v>30</v>
      </c>
      <c r="AA30" s="3">
        <v>9</v>
      </c>
      <c r="AB30" s="3" t="s">
        <v>284</v>
      </c>
      <c r="AC30" s="3" t="s">
        <v>77</v>
      </c>
      <c r="AD30" s="3" t="s">
        <v>23</v>
      </c>
      <c r="AE30" s="3" t="s">
        <v>21</v>
      </c>
      <c r="AF30" s="3" t="s">
        <v>23</v>
      </c>
      <c r="AG30" s="3" t="s">
        <v>21</v>
      </c>
      <c r="AH30" s="15" t="str">
        <f>IFERROR(VLOOKUP(Form_Responses[[#This Row],[Nombre Técnico]],'masa de trabajo'!$B:$C,2,0),"")</f>
        <v>SI</v>
      </c>
      <c r="AI30" s="12" t="str">
        <f>VLOOKUP(Form_Responses[[#This Row],[Nombre Técnico]],'masa de trabajo'!$B:$E,3,0)</f>
        <v>-</v>
      </c>
      <c r="AJ30" s="12" t="str">
        <f>VLOOKUP(Form_Responses[[#This Row],[Nombre Técnico]],'masa de trabajo'!$B:$E,4,0)</f>
        <v>-</v>
      </c>
    </row>
    <row r="31" spans="1:36" ht="15.75" customHeight="1" x14ac:dyDescent="0.25">
      <c r="A31" s="1">
        <v>46267.696003368052</v>
      </c>
      <c r="B31" s="10">
        <v>8</v>
      </c>
      <c r="C31" s="3" t="s">
        <v>285</v>
      </c>
      <c r="D31" s="3" t="s">
        <v>253</v>
      </c>
      <c r="E31" s="3" t="s">
        <v>53</v>
      </c>
      <c r="F31" s="3" t="s">
        <v>18</v>
      </c>
      <c r="G31" s="3" t="s">
        <v>18</v>
      </c>
      <c r="I31" s="3" t="s">
        <v>19</v>
      </c>
      <c r="J31" s="3" t="s">
        <v>41</v>
      </c>
      <c r="K31" s="3" t="s">
        <v>23</v>
      </c>
      <c r="L31" s="3" t="s">
        <v>286</v>
      </c>
      <c r="M31" s="3" t="s">
        <v>21</v>
      </c>
      <c r="N31" s="3" t="s">
        <v>21</v>
      </c>
      <c r="Q31" s="3" t="s">
        <v>23</v>
      </c>
      <c r="R31" s="3" t="s">
        <v>23</v>
      </c>
      <c r="T31" s="3">
        <v>4</v>
      </c>
      <c r="U31" s="4" t="s">
        <v>287</v>
      </c>
      <c r="V31" s="4" t="s">
        <v>288</v>
      </c>
      <c r="W31" s="4" t="s">
        <v>289</v>
      </c>
      <c r="X31" s="4" t="s">
        <v>290</v>
      </c>
      <c r="Y31" s="3" t="s">
        <v>30</v>
      </c>
      <c r="Z31" s="3" t="s">
        <v>30</v>
      </c>
      <c r="AA31" s="3">
        <v>9</v>
      </c>
      <c r="AB31" s="3" t="s">
        <v>291</v>
      </c>
      <c r="AC31" s="3" t="s">
        <v>23</v>
      </c>
      <c r="AD31" s="3" t="s">
        <v>23</v>
      </c>
      <c r="AE31" s="3" t="s">
        <v>21</v>
      </c>
      <c r="AF31" s="3" t="s">
        <v>23</v>
      </c>
      <c r="AG31" s="3" t="s">
        <v>21</v>
      </c>
      <c r="AH31" s="15" t="str">
        <f>IFERROR(VLOOKUP(Form_Responses[[#This Row],[Nombre Técnico]],'masa de trabajo'!$B:$C,2,0),"")</f>
        <v>SI</v>
      </c>
      <c r="AI31" s="12" t="str">
        <f>VLOOKUP(Form_Responses[[#This Row],[Nombre Técnico]],'masa de trabajo'!$B:$E,3,0)</f>
        <v>SI</v>
      </c>
      <c r="AJ31" s="12" t="str">
        <f>VLOOKUP(Form_Responses[[#This Row],[Nombre Técnico]],'masa de trabajo'!$B:$E,4,0)</f>
        <v>-</v>
      </c>
    </row>
    <row r="32" spans="1:36" ht="15.75" customHeight="1" x14ac:dyDescent="0.25">
      <c r="A32" s="1">
        <v>46268.671411990741</v>
      </c>
      <c r="B32" s="10">
        <v>6</v>
      </c>
      <c r="C32" s="3" t="s">
        <v>292</v>
      </c>
      <c r="D32" s="3" t="s">
        <v>221</v>
      </c>
      <c r="E32" s="3" t="s">
        <v>53</v>
      </c>
      <c r="F32" s="3" t="s">
        <v>18</v>
      </c>
      <c r="G32" s="3" t="s">
        <v>18</v>
      </c>
      <c r="I32" s="3" t="s">
        <v>128</v>
      </c>
      <c r="J32" s="3" t="s">
        <v>41</v>
      </c>
      <c r="K32" s="3" t="s">
        <v>23</v>
      </c>
      <c r="L32" s="3" t="s">
        <v>293</v>
      </c>
      <c r="M32" s="3" t="s">
        <v>21</v>
      </c>
      <c r="N32" s="3" t="s">
        <v>21</v>
      </c>
      <c r="Q32" s="3" t="s">
        <v>23</v>
      </c>
      <c r="R32" s="3" t="s">
        <v>23</v>
      </c>
      <c r="S32" s="3" t="s">
        <v>294</v>
      </c>
      <c r="T32" s="3">
        <v>4</v>
      </c>
      <c r="U32" s="4" t="s">
        <v>295</v>
      </c>
      <c r="V32" s="4" t="s">
        <v>296</v>
      </c>
      <c r="W32" s="4" t="s">
        <v>297</v>
      </c>
      <c r="X32" s="4" t="s">
        <v>298</v>
      </c>
      <c r="Y32" s="3" t="s">
        <v>30</v>
      </c>
      <c r="Z32" s="3" t="s">
        <v>30</v>
      </c>
      <c r="AA32" s="3">
        <v>9</v>
      </c>
      <c r="AB32" s="3" t="s">
        <v>299</v>
      </c>
      <c r="AD32" s="3" t="s">
        <v>23</v>
      </c>
      <c r="AE32" s="3" t="s">
        <v>21</v>
      </c>
      <c r="AG32" s="3" t="s">
        <v>21</v>
      </c>
      <c r="AH32" s="15" t="str">
        <f>IFERROR(VLOOKUP(Form_Responses[[#This Row],[Nombre Técnico]],'masa de trabajo'!$B:$C,2,0),"")</f>
        <v>-</v>
      </c>
      <c r="AI32" s="12" t="str">
        <f>VLOOKUP(Form_Responses[[#This Row],[Nombre Técnico]],'masa de trabajo'!$B:$E,3,0)</f>
        <v>-</v>
      </c>
      <c r="AJ32" s="12" t="str">
        <f>VLOOKUP(Form_Responses[[#This Row],[Nombre Técnico]],'masa de trabajo'!$B:$E,4,0)</f>
        <v>-</v>
      </c>
    </row>
    <row r="33" spans="1:36" ht="15.75" customHeight="1" x14ac:dyDescent="0.25">
      <c r="A33" s="1">
        <v>46269.998554641206</v>
      </c>
      <c r="B33" s="10">
        <v>10</v>
      </c>
      <c r="C33" s="3" t="s">
        <v>300</v>
      </c>
      <c r="D33" s="3" t="s">
        <v>63</v>
      </c>
      <c r="E33" s="3" t="s">
        <v>53</v>
      </c>
      <c r="F33" s="3" t="s">
        <v>18</v>
      </c>
      <c r="G33" s="3" t="s">
        <v>18</v>
      </c>
      <c r="I33" s="3" t="s">
        <v>19</v>
      </c>
      <c r="J33" s="3" t="s">
        <v>65</v>
      </c>
      <c r="K33" s="3" t="s">
        <v>23</v>
      </c>
      <c r="L33" s="3" t="s">
        <v>301</v>
      </c>
      <c r="M33" s="3" t="s">
        <v>23</v>
      </c>
      <c r="N33" s="3" t="s">
        <v>23</v>
      </c>
      <c r="P33" s="3">
        <v>1</v>
      </c>
      <c r="Q33" s="3" t="s">
        <v>23</v>
      </c>
      <c r="R33" s="3" t="s">
        <v>23</v>
      </c>
      <c r="S33" s="3" t="s">
        <v>302</v>
      </c>
      <c r="T33" s="3">
        <v>4</v>
      </c>
      <c r="U33" s="4" t="s">
        <v>303</v>
      </c>
      <c r="V33" s="4" t="s">
        <v>304</v>
      </c>
      <c r="W33" s="4" t="s">
        <v>305</v>
      </c>
      <c r="X33" s="4" t="s">
        <v>306</v>
      </c>
      <c r="Y33" s="3" t="s">
        <v>30</v>
      </c>
      <c r="Z33" s="3" t="s">
        <v>30</v>
      </c>
      <c r="AA33" s="3">
        <v>9</v>
      </c>
      <c r="AB33" s="3" t="s">
        <v>307</v>
      </c>
      <c r="AC33" s="3" t="s">
        <v>23</v>
      </c>
      <c r="AD33" s="3" t="s">
        <v>23</v>
      </c>
      <c r="AE33" s="3" t="s">
        <v>21</v>
      </c>
      <c r="AF33" s="3" t="s">
        <v>23</v>
      </c>
      <c r="AG33" s="3" t="s">
        <v>21</v>
      </c>
      <c r="AH33" s="15" t="str">
        <f>IFERROR(VLOOKUP(Form_Responses[[#This Row],[Nombre Técnico]],'masa de trabajo'!$B:$C,2,0),"")</f>
        <v>SI</v>
      </c>
      <c r="AI33" s="12" t="str">
        <f>VLOOKUP(Form_Responses[[#This Row],[Nombre Técnico]],'masa de trabajo'!$B:$E,3,0)</f>
        <v>SI</v>
      </c>
      <c r="AJ33" s="12" t="str">
        <f>VLOOKUP(Form_Responses[[#This Row],[Nombre Técnico]],'masa de trabajo'!$B:$E,4,0)</f>
        <v>-</v>
      </c>
    </row>
    <row r="34" spans="1:36" ht="15.75" customHeight="1" x14ac:dyDescent="0.25">
      <c r="A34" s="1">
        <v>46271.900488796295</v>
      </c>
      <c r="B34" s="10">
        <v>10</v>
      </c>
      <c r="C34" s="3" t="s">
        <v>308</v>
      </c>
      <c r="D34" s="3" t="s">
        <v>101</v>
      </c>
      <c r="E34" s="3" t="s">
        <v>17</v>
      </c>
      <c r="F34" s="3" t="s">
        <v>18</v>
      </c>
      <c r="G34" s="3" t="s">
        <v>18</v>
      </c>
      <c r="I34" s="3" t="s">
        <v>19</v>
      </c>
      <c r="J34" s="3" t="s">
        <v>41</v>
      </c>
      <c r="K34" s="3" t="s">
        <v>23</v>
      </c>
      <c r="L34" s="3" t="s">
        <v>309</v>
      </c>
      <c r="M34" s="3" t="s">
        <v>23</v>
      </c>
      <c r="N34" s="3" t="s">
        <v>23</v>
      </c>
      <c r="O34" s="3" t="s">
        <v>21</v>
      </c>
      <c r="P34" s="3">
        <v>1</v>
      </c>
      <c r="Q34" s="3" t="s">
        <v>23</v>
      </c>
      <c r="R34" s="3" t="s">
        <v>23</v>
      </c>
      <c r="S34" s="3" t="s">
        <v>310</v>
      </c>
      <c r="T34" s="3">
        <v>4</v>
      </c>
      <c r="U34" s="4" t="s">
        <v>311</v>
      </c>
      <c r="V34" s="4" t="s">
        <v>312</v>
      </c>
      <c r="W34" s="4" t="s">
        <v>313</v>
      </c>
      <c r="X34" s="4" t="s">
        <v>314</v>
      </c>
      <c r="Y34" s="3" t="s">
        <v>30</v>
      </c>
      <c r="Z34" s="3" t="s">
        <v>30</v>
      </c>
      <c r="AA34" s="3">
        <v>7</v>
      </c>
      <c r="AB34" s="3" t="s">
        <v>315</v>
      </c>
      <c r="AC34" s="3" t="s">
        <v>23</v>
      </c>
      <c r="AD34" s="3" t="s">
        <v>23</v>
      </c>
      <c r="AE34" s="3" t="s">
        <v>21</v>
      </c>
      <c r="AF34" s="3" t="s">
        <v>23</v>
      </c>
      <c r="AG34" s="3" t="s">
        <v>21</v>
      </c>
      <c r="AH34" s="15" t="str">
        <f>IFERROR(VLOOKUP(Form_Responses[[#This Row],[Nombre Técnico]],'masa de trabajo'!$B:$C,2,0),"")</f>
        <v>SI</v>
      </c>
      <c r="AI34" s="12" t="str">
        <f>VLOOKUP(Form_Responses[[#This Row],[Nombre Técnico]],'masa de trabajo'!$B:$E,3,0)</f>
        <v>SI</v>
      </c>
      <c r="AJ34" s="12" t="str">
        <f>VLOOKUP(Form_Responses[[#This Row],[Nombre Técnico]],'masa de trabajo'!$B:$E,4,0)</f>
        <v>-</v>
      </c>
    </row>
    <row r="35" spans="1:36" ht="15.75" customHeight="1" x14ac:dyDescent="0.25">
      <c r="A35" s="1">
        <v>46271.909165335645</v>
      </c>
      <c r="B35" s="10">
        <v>9</v>
      </c>
      <c r="C35" s="3" t="s">
        <v>316</v>
      </c>
      <c r="D35" s="3" t="s">
        <v>101</v>
      </c>
      <c r="E35" s="3" t="s">
        <v>17</v>
      </c>
      <c r="F35" s="3" t="s">
        <v>18</v>
      </c>
      <c r="G35" s="3" t="s">
        <v>18</v>
      </c>
      <c r="I35" s="3" t="s">
        <v>19</v>
      </c>
      <c r="J35" s="3" t="s">
        <v>41</v>
      </c>
      <c r="K35" s="3" t="s">
        <v>23</v>
      </c>
      <c r="L35" s="3" t="s">
        <v>317</v>
      </c>
      <c r="N35" s="3" t="s">
        <v>23</v>
      </c>
      <c r="P35" s="3">
        <v>2</v>
      </c>
      <c r="Q35" s="3" t="s">
        <v>23</v>
      </c>
      <c r="R35" s="3" t="s">
        <v>23</v>
      </c>
      <c r="S35" s="3" t="s">
        <v>318</v>
      </c>
      <c r="T35" s="3">
        <v>4</v>
      </c>
      <c r="U35" s="4" t="s">
        <v>319</v>
      </c>
      <c r="V35" s="4" t="s">
        <v>320</v>
      </c>
      <c r="W35" s="4" t="s">
        <v>321</v>
      </c>
      <c r="X35" s="4" t="s">
        <v>322</v>
      </c>
      <c r="Y35" s="3" t="s">
        <v>30</v>
      </c>
      <c r="Z35" s="3" t="s">
        <v>30</v>
      </c>
      <c r="AA35" s="3">
        <v>8</v>
      </c>
      <c r="AB35" s="3" t="s">
        <v>323</v>
      </c>
      <c r="AC35" s="3" t="s">
        <v>23</v>
      </c>
      <c r="AD35" s="3" t="s">
        <v>23</v>
      </c>
      <c r="AE35" s="3" t="s">
        <v>21</v>
      </c>
      <c r="AF35" s="3" t="s">
        <v>23</v>
      </c>
      <c r="AG35" s="3" t="s">
        <v>21</v>
      </c>
      <c r="AH35" s="15" t="str">
        <f>IFERROR(VLOOKUP(Form_Responses[[#This Row],[Nombre Técnico]],'masa de trabajo'!$B:$C,2,0),"")</f>
        <v>SI</v>
      </c>
      <c r="AI35" s="12" t="str">
        <f>VLOOKUP(Form_Responses[[#This Row],[Nombre Técnico]],'masa de trabajo'!$B:$E,3,0)</f>
        <v>SI</v>
      </c>
      <c r="AJ35" s="12" t="str">
        <f>VLOOKUP(Form_Responses[[#This Row],[Nombre Técnico]],'masa de trabajo'!$B:$E,4,0)</f>
        <v>-</v>
      </c>
    </row>
    <row r="36" spans="1:36" ht="15.75" customHeight="1" x14ac:dyDescent="0.25">
      <c r="A36" s="1">
        <v>46271.929969872683</v>
      </c>
      <c r="B36" s="10">
        <v>6</v>
      </c>
      <c r="C36" s="3" t="s">
        <v>324</v>
      </c>
      <c r="D36" s="3" t="s">
        <v>101</v>
      </c>
      <c r="E36" s="3" t="s">
        <v>17</v>
      </c>
      <c r="F36" s="3" t="s">
        <v>18</v>
      </c>
      <c r="G36" s="3" t="s">
        <v>18</v>
      </c>
      <c r="I36" s="3" t="s">
        <v>19</v>
      </c>
      <c r="J36" s="3" t="s">
        <v>65</v>
      </c>
      <c r="L36" s="3" t="s">
        <v>325</v>
      </c>
      <c r="N36" s="3" t="s">
        <v>23</v>
      </c>
      <c r="O36" s="3" t="s">
        <v>23</v>
      </c>
      <c r="Q36" s="3" t="s">
        <v>23</v>
      </c>
      <c r="R36" s="3" t="s">
        <v>23</v>
      </c>
      <c r="S36" s="3" t="s">
        <v>326</v>
      </c>
      <c r="T36" s="3">
        <v>4</v>
      </c>
      <c r="U36" s="4" t="s">
        <v>327</v>
      </c>
      <c r="V36" s="4" t="s">
        <v>328</v>
      </c>
      <c r="X36" s="4" t="s">
        <v>329</v>
      </c>
      <c r="Y36" s="3" t="s">
        <v>30</v>
      </c>
      <c r="Z36" s="3" t="s">
        <v>30</v>
      </c>
      <c r="AA36" s="3">
        <v>7</v>
      </c>
      <c r="AB36" s="3" t="s">
        <v>330</v>
      </c>
      <c r="AD36" s="3" t="s">
        <v>23</v>
      </c>
      <c r="AH36" s="15" t="str">
        <f>IFERROR(VLOOKUP(Form_Responses[[#This Row],[Nombre Técnico]],'masa de trabajo'!$B:$C,2,0),"")</f>
        <v>SI</v>
      </c>
      <c r="AI36" s="12" t="str">
        <f>VLOOKUP(Form_Responses[[#This Row],[Nombre Técnico]],'masa de trabajo'!$B:$E,3,0)</f>
        <v>SI</v>
      </c>
      <c r="AJ36" s="12" t="str">
        <f>VLOOKUP(Form_Responses[[#This Row],[Nombre Técnico]],'masa de trabajo'!$B:$E,4,0)</f>
        <v>-</v>
      </c>
    </row>
    <row r="37" spans="1:36" ht="15.75" customHeight="1" x14ac:dyDescent="0.25">
      <c r="A37" s="1">
        <v>46271.935383136573</v>
      </c>
      <c r="B37" s="10">
        <v>8</v>
      </c>
      <c r="C37" s="3" t="s">
        <v>331</v>
      </c>
      <c r="D37" s="3" t="s">
        <v>101</v>
      </c>
      <c r="E37" s="3" t="s">
        <v>17</v>
      </c>
      <c r="F37" s="3" t="s">
        <v>18</v>
      </c>
      <c r="G37" s="3" t="s">
        <v>18</v>
      </c>
      <c r="I37" s="3" t="s">
        <v>19</v>
      </c>
      <c r="J37" s="3" t="s">
        <v>65</v>
      </c>
      <c r="L37" s="3" t="s">
        <v>332</v>
      </c>
      <c r="N37" s="3" t="s">
        <v>23</v>
      </c>
      <c r="P37" s="3">
        <v>2</v>
      </c>
      <c r="Q37" s="3" t="s">
        <v>23</v>
      </c>
      <c r="R37" s="3" t="s">
        <v>23</v>
      </c>
      <c r="S37" s="3" t="s">
        <v>333</v>
      </c>
      <c r="T37" s="16" t="s">
        <v>334</v>
      </c>
      <c r="U37" s="4" t="s">
        <v>335</v>
      </c>
      <c r="V37" s="4" t="s">
        <v>336</v>
      </c>
      <c r="X37" s="4" t="s">
        <v>337</v>
      </c>
      <c r="Y37" s="3" t="s">
        <v>30</v>
      </c>
      <c r="Z37" s="3" t="s">
        <v>30</v>
      </c>
      <c r="AA37" s="3">
        <v>6</v>
      </c>
      <c r="AB37" s="3" t="s">
        <v>338</v>
      </c>
      <c r="AC37" s="3" t="s">
        <v>23</v>
      </c>
      <c r="AD37" s="3" t="s">
        <v>23</v>
      </c>
      <c r="AF37" s="3" t="s">
        <v>23</v>
      </c>
      <c r="AH37" s="15" t="str">
        <f>IFERROR(VLOOKUP(Form_Responses[[#This Row],[Nombre Técnico]],'masa de trabajo'!$B:$C,2,0),"")</f>
        <v>SI</v>
      </c>
      <c r="AI37" s="12" t="str">
        <f>VLOOKUP(Form_Responses[[#This Row],[Nombre Técnico]],'masa de trabajo'!$B:$E,3,0)</f>
        <v>SI</v>
      </c>
      <c r="AJ37" s="12" t="str">
        <f>VLOOKUP(Form_Responses[[#This Row],[Nombre Técnico]],'masa de trabajo'!$B:$E,4,0)</f>
        <v>-</v>
      </c>
    </row>
    <row r="38" spans="1:36" ht="15.75" customHeight="1" x14ac:dyDescent="0.25">
      <c r="A38" s="1">
        <v>46271.948370185186</v>
      </c>
      <c r="B38" s="10">
        <v>8</v>
      </c>
      <c r="C38" s="3" t="s">
        <v>339</v>
      </c>
      <c r="D38" s="3" t="s">
        <v>340</v>
      </c>
      <c r="E38" s="3" t="s">
        <v>17</v>
      </c>
      <c r="F38" s="3" t="s">
        <v>18</v>
      </c>
      <c r="G38" s="3" t="s">
        <v>18</v>
      </c>
      <c r="I38" s="3" t="s">
        <v>19</v>
      </c>
      <c r="J38" s="3" t="s">
        <v>65</v>
      </c>
      <c r="L38" s="3" t="s">
        <v>341</v>
      </c>
      <c r="N38" s="3" t="s">
        <v>23</v>
      </c>
      <c r="Q38" s="3" t="s">
        <v>23</v>
      </c>
      <c r="R38" s="3" t="s">
        <v>23</v>
      </c>
      <c r="S38" s="3" t="s">
        <v>342</v>
      </c>
      <c r="T38" s="3">
        <v>4</v>
      </c>
      <c r="U38" s="4" t="s">
        <v>343</v>
      </c>
      <c r="V38" s="4" t="s">
        <v>344</v>
      </c>
      <c r="X38" s="4" t="s">
        <v>345</v>
      </c>
      <c r="Y38" s="3" t="s">
        <v>30</v>
      </c>
      <c r="Z38" s="3" t="s">
        <v>30</v>
      </c>
      <c r="AA38" s="3">
        <v>8</v>
      </c>
      <c r="AB38" s="3" t="s">
        <v>346</v>
      </c>
      <c r="AC38" s="3" t="s">
        <v>23</v>
      </c>
      <c r="AD38" s="3" t="s">
        <v>23</v>
      </c>
      <c r="AF38" s="3" t="s">
        <v>23</v>
      </c>
      <c r="AH38" s="15" t="str">
        <f>IFERROR(VLOOKUP(Form_Responses[[#This Row],[Nombre Técnico]],'masa de trabajo'!$B:$C,2,0),"")</f>
        <v>-</v>
      </c>
      <c r="AI38" s="12" t="str">
        <f>VLOOKUP(Form_Responses[[#This Row],[Nombre Técnico]],'masa de trabajo'!$B:$E,3,0)</f>
        <v>-</v>
      </c>
      <c r="AJ38" s="12" t="str">
        <f>VLOOKUP(Form_Responses[[#This Row],[Nombre Técnico]],'masa de trabajo'!$B:$E,4,0)</f>
        <v>-</v>
      </c>
    </row>
    <row r="39" spans="1:36" ht="15.75" customHeight="1" x14ac:dyDescent="0.25">
      <c r="A39" s="1">
        <v>46271.955678379629</v>
      </c>
      <c r="B39" s="10">
        <v>7</v>
      </c>
      <c r="C39" s="3" t="s">
        <v>347</v>
      </c>
      <c r="D39" s="3" t="s">
        <v>348</v>
      </c>
      <c r="E39" s="3" t="s">
        <v>17</v>
      </c>
      <c r="F39" s="3" t="s">
        <v>18</v>
      </c>
      <c r="G39" s="3" t="s">
        <v>18</v>
      </c>
      <c r="I39" s="3" t="s">
        <v>19</v>
      </c>
      <c r="J39" s="3" t="s">
        <v>41</v>
      </c>
      <c r="L39" s="3" t="s">
        <v>349</v>
      </c>
      <c r="N39" s="3" t="s">
        <v>23</v>
      </c>
      <c r="P39" s="3">
        <v>1</v>
      </c>
      <c r="Q39" s="3" t="s">
        <v>23</v>
      </c>
      <c r="R39" s="3" t="s">
        <v>23</v>
      </c>
      <c r="S39" s="3" t="s">
        <v>350</v>
      </c>
      <c r="T39" s="3">
        <v>3</v>
      </c>
      <c r="U39" s="4" t="s">
        <v>351</v>
      </c>
      <c r="V39" s="4" t="s">
        <v>352</v>
      </c>
      <c r="W39" s="4" t="s">
        <v>353</v>
      </c>
      <c r="X39" s="4" t="s">
        <v>354</v>
      </c>
      <c r="Y39" s="3" t="s">
        <v>30</v>
      </c>
      <c r="Z39" s="3" t="s">
        <v>72</v>
      </c>
      <c r="AA39" s="3">
        <v>5</v>
      </c>
      <c r="AB39" s="3" t="s">
        <v>355</v>
      </c>
      <c r="AC39" s="3" t="s">
        <v>23</v>
      </c>
      <c r="AD39" s="3" t="s">
        <v>23</v>
      </c>
      <c r="AE39" s="3" t="s">
        <v>23</v>
      </c>
      <c r="AF39" s="3" t="s">
        <v>23</v>
      </c>
      <c r="AH39" s="15" t="str">
        <f>IFERROR(VLOOKUP(Form_Responses[[#This Row],[Nombre Técnico]],'masa de trabajo'!$B:$C,2,0),"")</f>
        <v>-</v>
      </c>
      <c r="AI39" s="12" t="str">
        <f>VLOOKUP(Form_Responses[[#This Row],[Nombre Técnico]],'masa de trabajo'!$B:$E,3,0)</f>
        <v>-</v>
      </c>
      <c r="AJ39" s="12" t="str">
        <f>VLOOKUP(Form_Responses[[#This Row],[Nombre Técnico]],'masa de trabajo'!$B:$E,4,0)</f>
        <v>-</v>
      </c>
    </row>
    <row r="40" spans="1:36" ht="15.75" customHeight="1" x14ac:dyDescent="0.25">
      <c r="A40" s="1">
        <v>46271.963903287033</v>
      </c>
      <c r="B40" s="10">
        <v>8</v>
      </c>
      <c r="C40" s="3" t="s">
        <v>356</v>
      </c>
      <c r="D40" s="3" t="s">
        <v>157</v>
      </c>
      <c r="E40" s="3" t="s">
        <v>17</v>
      </c>
      <c r="F40" s="3" t="s">
        <v>18</v>
      </c>
      <c r="G40" s="3" t="s">
        <v>18</v>
      </c>
      <c r="I40" s="3" t="s">
        <v>19</v>
      </c>
      <c r="J40" s="3" t="s">
        <v>41</v>
      </c>
      <c r="L40" s="3" t="s">
        <v>357</v>
      </c>
      <c r="N40" s="3" t="s">
        <v>23</v>
      </c>
      <c r="Q40" s="3" t="s">
        <v>23</v>
      </c>
      <c r="R40" s="3" t="s">
        <v>23</v>
      </c>
      <c r="S40" s="3" t="s">
        <v>159</v>
      </c>
      <c r="T40" s="3">
        <v>4</v>
      </c>
      <c r="U40" s="4" t="s">
        <v>358</v>
      </c>
      <c r="V40" s="4" t="s">
        <v>359</v>
      </c>
      <c r="W40" s="4" t="s">
        <v>360</v>
      </c>
      <c r="X40" s="4" t="s">
        <v>361</v>
      </c>
      <c r="Y40" s="3" t="s">
        <v>30</v>
      </c>
      <c r="Z40" s="3" t="s">
        <v>30</v>
      </c>
      <c r="AA40" s="3">
        <v>8</v>
      </c>
      <c r="AB40" s="3" t="s">
        <v>362</v>
      </c>
      <c r="AC40" s="3" t="s">
        <v>23</v>
      </c>
      <c r="AD40" s="3" t="s">
        <v>23</v>
      </c>
      <c r="AE40" s="3" t="s">
        <v>21</v>
      </c>
      <c r="AF40" s="3" t="s">
        <v>23</v>
      </c>
      <c r="AG40" s="3" t="s">
        <v>21</v>
      </c>
      <c r="AH40" s="15" t="str">
        <f>IFERROR(VLOOKUP(Form_Responses[[#This Row],[Nombre Técnico]],'masa de trabajo'!$B:$C,2,0),"")</f>
        <v>-</v>
      </c>
      <c r="AI40" s="12" t="str">
        <f>VLOOKUP(Form_Responses[[#This Row],[Nombre Técnico]],'masa de trabajo'!$B:$E,3,0)</f>
        <v>-</v>
      </c>
      <c r="AJ40" s="12" t="str">
        <f>VLOOKUP(Form_Responses[[#This Row],[Nombre Técnico]],'masa de trabajo'!$B:$E,4,0)</f>
        <v>-</v>
      </c>
    </row>
    <row r="41" spans="1:36" ht="15.75" customHeight="1" x14ac:dyDescent="0.25">
      <c r="A41" s="1">
        <v>46272.725015509262</v>
      </c>
      <c r="B41" s="10">
        <v>9</v>
      </c>
      <c r="C41" s="3" t="s">
        <v>363</v>
      </c>
      <c r="D41" s="3" t="s">
        <v>364</v>
      </c>
      <c r="E41" s="3" t="s">
        <v>53</v>
      </c>
      <c r="F41" s="3" t="s">
        <v>18</v>
      </c>
      <c r="G41" s="3" t="s">
        <v>18</v>
      </c>
      <c r="I41" s="3" t="s">
        <v>19</v>
      </c>
      <c r="J41" s="3" t="s">
        <v>41</v>
      </c>
      <c r="K41" s="3" t="s">
        <v>23</v>
      </c>
      <c r="L41" s="3" t="s">
        <v>365</v>
      </c>
      <c r="M41" s="3" t="s">
        <v>23</v>
      </c>
      <c r="N41" s="3" t="s">
        <v>21</v>
      </c>
      <c r="Q41" s="3" t="s">
        <v>23</v>
      </c>
      <c r="R41" s="3" t="s">
        <v>23</v>
      </c>
      <c r="T41" s="3">
        <v>4</v>
      </c>
      <c r="U41" s="4" t="s">
        <v>366</v>
      </c>
      <c r="V41" s="4" t="s">
        <v>367</v>
      </c>
      <c r="W41" s="4" t="s">
        <v>368</v>
      </c>
      <c r="X41" s="4" t="s">
        <v>369</v>
      </c>
      <c r="Y41" s="3" t="s">
        <v>30</v>
      </c>
      <c r="Z41" s="3" t="s">
        <v>30</v>
      </c>
      <c r="AA41" s="3">
        <v>9</v>
      </c>
      <c r="AB41" s="3" t="s">
        <v>291</v>
      </c>
      <c r="AC41" s="3" t="s">
        <v>23</v>
      </c>
      <c r="AD41" s="3" t="s">
        <v>23</v>
      </c>
      <c r="AE41" s="3" t="s">
        <v>21</v>
      </c>
      <c r="AF41" s="3" t="s">
        <v>23</v>
      </c>
      <c r="AG41" s="3" t="s">
        <v>21</v>
      </c>
      <c r="AH41" s="15" t="str">
        <f>IFERROR(VLOOKUP(Form_Responses[[#This Row],[Nombre Técnico]],'masa de trabajo'!$B:$C,2,0),"")</f>
        <v>-</v>
      </c>
      <c r="AI41" s="12" t="str">
        <f>VLOOKUP(Form_Responses[[#This Row],[Nombre Técnico]],'masa de trabajo'!$B:$E,3,0)</f>
        <v>-</v>
      </c>
      <c r="AJ41" s="12" t="str">
        <f>VLOOKUP(Form_Responses[[#This Row],[Nombre Técnico]],'masa de trabajo'!$B:$E,4,0)</f>
        <v>-</v>
      </c>
    </row>
    <row r="42" spans="1:36" ht="15.75" customHeight="1" x14ac:dyDescent="0.25">
      <c r="A42" s="1">
        <v>46273.385448194444</v>
      </c>
      <c r="B42" s="10">
        <v>8</v>
      </c>
      <c r="C42" s="3" t="s">
        <v>370</v>
      </c>
      <c r="D42" s="3" t="s">
        <v>143</v>
      </c>
      <c r="E42" s="3" t="s">
        <v>53</v>
      </c>
      <c r="F42" s="3" t="s">
        <v>18</v>
      </c>
      <c r="G42" s="3" t="s">
        <v>18</v>
      </c>
      <c r="I42" s="3" t="s">
        <v>19</v>
      </c>
      <c r="J42" s="3" t="s">
        <v>20</v>
      </c>
      <c r="K42" s="3" t="s">
        <v>23</v>
      </c>
      <c r="L42" s="3" t="s">
        <v>371</v>
      </c>
      <c r="M42" s="3" t="s">
        <v>23</v>
      </c>
      <c r="N42" s="3" t="s">
        <v>21</v>
      </c>
      <c r="Q42" s="3" t="s">
        <v>23</v>
      </c>
      <c r="R42" s="3" t="s">
        <v>23</v>
      </c>
      <c r="S42" s="3" t="s">
        <v>372</v>
      </c>
      <c r="T42" s="3">
        <v>4</v>
      </c>
      <c r="U42" s="4" t="s">
        <v>373</v>
      </c>
      <c r="V42" s="4" t="s">
        <v>374</v>
      </c>
      <c r="W42" s="4" t="s">
        <v>375</v>
      </c>
      <c r="X42" s="4" t="s">
        <v>376</v>
      </c>
      <c r="Y42" s="3" t="s">
        <v>30</v>
      </c>
      <c r="Z42" s="3" t="s">
        <v>30</v>
      </c>
      <c r="AA42" s="3">
        <v>9</v>
      </c>
      <c r="AB42" s="3" t="s">
        <v>377</v>
      </c>
      <c r="AC42" s="3" t="s">
        <v>77</v>
      </c>
      <c r="AD42" s="3" t="s">
        <v>23</v>
      </c>
      <c r="AE42" s="3" t="s">
        <v>21</v>
      </c>
      <c r="AF42" s="3" t="s">
        <v>23</v>
      </c>
      <c r="AG42" s="3" t="s">
        <v>21</v>
      </c>
      <c r="AH42" s="15" t="str">
        <f>IFERROR(VLOOKUP(Form_Responses[[#This Row],[Nombre Técnico]],'masa de trabajo'!$B:$C,2,0),"")</f>
        <v>-</v>
      </c>
      <c r="AI42" s="12" t="str">
        <f>VLOOKUP(Form_Responses[[#This Row],[Nombre Técnico]],'masa de trabajo'!$B:$E,3,0)</f>
        <v>-</v>
      </c>
      <c r="AJ42" s="12" t="str">
        <f>VLOOKUP(Form_Responses[[#This Row],[Nombre Técnico]],'masa de trabajo'!$B:$E,4,0)</f>
        <v>-</v>
      </c>
    </row>
    <row r="43" spans="1:36" ht="15.75" customHeight="1" x14ac:dyDescent="0.25">
      <c r="A43" s="1">
        <v>46273.679735358797</v>
      </c>
      <c r="B43" s="10">
        <v>8</v>
      </c>
      <c r="C43" s="3" t="s">
        <v>378</v>
      </c>
      <c r="D43" s="3" t="s">
        <v>174</v>
      </c>
      <c r="E43" s="3" t="s">
        <v>53</v>
      </c>
      <c r="F43" s="3" t="s">
        <v>18</v>
      </c>
      <c r="G43" s="3" t="s">
        <v>18</v>
      </c>
      <c r="I43" s="3" t="s">
        <v>19</v>
      </c>
      <c r="J43" s="3" t="s">
        <v>20</v>
      </c>
      <c r="K43" s="3" t="s">
        <v>23</v>
      </c>
      <c r="L43" s="3" t="s">
        <v>379</v>
      </c>
      <c r="N43" s="3" t="s">
        <v>23</v>
      </c>
      <c r="Q43" s="3" t="s">
        <v>23</v>
      </c>
      <c r="R43" s="3" t="s">
        <v>23</v>
      </c>
      <c r="T43" s="3">
        <v>4</v>
      </c>
      <c r="U43" s="4" t="s">
        <v>380</v>
      </c>
      <c r="V43" s="4" t="s">
        <v>381</v>
      </c>
      <c r="W43" s="4" t="s">
        <v>382</v>
      </c>
      <c r="X43" s="4" t="s">
        <v>383</v>
      </c>
      <c r="Y43" s="3" t="s">
        <v>30</v>
      </c>
      <c r="Z43" s="3" t="s">
        <v>30</v>
      </c>
      <c r="AA43" s="3">
        <v>9</v>
      </c>
      <c r="AB43" s="3" t="s">
        <v>384</v>
      </c>
      <c r="AC43" s="3" t="s">
        <v>77</v>
      </c>
      <c r="AD43" s="3" t="s">
        <v>23</v>
      </c>
      <c r="AE43" s="3" t="s">
        <v>21</v>
      </c>
      <c r="AF43" s="3" t="s">
        <v>23</v>
      </c>
      <c r="AG43" s="3" t="s">
        <v>21</v>
      </c>
      <c r="AH43" s="15" t="str">
        <f>IFERROR(VLOOKUP(Form_Responses[[#This Row],[Nombre Técnico]],'masa de trabajo'!$B:$C,2,0),"")</f>
        <v>SI</v>
      </c>
      <c r="AI43" s="12" t="str">
        <f>VLOOKUP(Form_Responses[[#This Row],[Nombre Técnico]],'masa de trabajo'!$B:$E,3,0)</f>
        <v>SI</v>
      </c>
      <c r="AJ43" s="12" t="str">
        <f>VLOOKUP(Form_Responses[[#This Row],[Nombre Técnico]],'masa de trabajo'!$B:$E,4,0)</f>
        <v>-</v>
      </c>
    </row>
  </sheetData>
  <phoneticPr fontId="5" type="noConversion"/>
  <hyperlinks>
    <hyperlink ref="U2" r:id="rId1" xr:uid="{5F254211-F2B7-4192-A99C-FA12631F1DCA}"/>
    <hyperlink ref="V2" r:id="rId2" xr:uid="{D999DC53-AFBA-4024-94D9-4343B0424687}"/>
    <hyperlink ref="W2" r:id="rId3" xr:uid="{5BC54CAC-3C30-4AE9-9C6D-883C397905BA}"/>
    <hyperlink ref="X2" r:id="rId4" xr:uid="{8A7D9812-F621-4886-9D0C-3D33A6AC09AB}"/>
    <hyperlink ref="U3" r:id="rId5" xr:uid="{B0D8831A-6C36-4DED-AFA5-86B0EF0C8406}"/>
    <hyperlink ref="V3" r:id="rId6" xr:uid="{82A1A44F-12DD-449F-A338-DC35E0DCAF3C}"/>
    <hyperlink ref="X3" r:id="rId7" xr:uid="{66E85A3E-19FC-4912-8F94-372C14DACDAE}"/>
    <hyperlink ref="U4" r:id="rId8" xr:uid="{052B7706-53AB-4D60-AF09-B30B0B755DE2}"/>
    <hyperlink ref="V4" r:id="rId9" xr:uid="{AF7C3B0F-6CDE-4FBF-8C7B-4A839AFD79DC}"/>
    <hyperlink ref="X4" r:id="rId10" xr:uid="{6DEE0415-9F35-43FB-B27F-40318E90EBB0}"/>
    <hyperlink ref="U5" r:id="rId11" xr:uid="{299D698C-7DD2-40A9-BD83-EA52EE3231DE}"/>
    <hyperlink ref="V5" r:id="rId12" xr:uid="{BBCA4C60-30E2-4583-9389-79C5AF3CA416}"/>
    <hyperlink ref="W5" r:id="rId13" xr:uid="{EBC420B7-D1FA-40E6-A198-D075FA1649EB}"/>
    <hyperlink ref="X5" r:id="rId14" xr:uid="{507DD8FA-8EDA-4993-9E5B-5189A32D424B}"/>
    <hyperlink ref="U6" r:id="rId15" xr:uid="{7D690290-DC2A-4BF9-B0C5-88998BBABBBB}"/>
    <hyperlink ref="V6" r:id="rId16" xr:uid="{547DF65E-28B8-4BBA-9A90-8982EC100970}"/>
    <hyperlink ref="W6" r:id="rId17" xr:uid="{68074B07-C458-48AC-969B-7CC40E55704F}"/>
    <hyperlink ref="X6" r:id="rId18" xr:uid="{B273B0F3-4EDC-4110-8866-3246552CFDD8}"/>
    <hyperlink ref="U7" r:id="rId19" xr:uid="{12B2B75B-F72A-4A56-9EB7-EF0DD2E40773}"/>
    <hyperlink ref="V7" r:id="rId20" xr:uid="{E27FB2C3-76CA-4B4F-9DDF-384AFB78C329}"/>
    <hyperlink ref="X7" r:id="rId21" xr:uid="{E8CA8A60-0184-47AE-A344-EE331D8EF526}"/>
    <hyperlink ref="U8" r:id="rId22" xr:uid="{8CEC6C17-EA0D-41CF-BD38-ED89B5CDE55E}"/>
    <hyperlink ref="V8" r:id="rId23" xr:uid="{D928947D-4627-4B81-AB2F-12BD773F3EF0}"/>
    <hyperlink ref="W8" r:id="rId24" xr:uid="{E623AFCB-67A6-47ED-9A78-DC7B525A1E9A}"/>
    <hyperlink ref="X8" r:id="rId25" xr:uid="{EF0C84F1-BAFB-48B1-BE03-55815DCF221D}"/>
    <hyperlink ref="U9" r:id="rId26" xr:uid="{322A9CF4-298E-41C6-8D40-BC08B5CE6E8A}"/>
    <hyperlink ref="V9" r:id="rId27" xr:uid="{E17032A1-CFB5-4AB6-99C1-1874A3508782}"/>
    <hyperlink ref="W9" r:id="rId28" xr:uid="{39541214-9D4C-4819-8A48-AE1DD79B00B3}"/>
    <hyperlink ref="X9" r:id="rId29" xr:uid="{EFB6FAFE-F11F-4D6E-AADD-EE382C0D1DB5}"/>
    <hyperlink ref="U10" r:id="rId30" xr:uid="{D988AAC9-9129-40A3-B5E0-625C03CB9AF0}"/>
    <hyperlink ref="V10" r:id="rId31" xr:uid="{2000B902-6097-4820-A3C2-54F49651284F}"/>
    <hyperlink ref="X10" r:id="rId32" xr:uid="{99B77298-655C-4D1B-B2AE-665D49E4D07F}"/>
    <hyperlink ref="U11" r:id="rId33" xr:uid="{3C8ECAD3-0D75-400C-B44D-DFF18D144919}"/>
    <hyperlink ref="V11" r:id="rId34" xr:uid="{198F14E6-9FC0-4F0A-8E05-790A42292AED}"/>
    <hyperlink ref="W11" r:id="rId35" xr:uid="{E0F1D95D-1BE9-4491-8739-46022B9FE99B}"/>
    <hyperlink ref="X11" r:id="rId36" xr:uid="{2A5AA804-0CDC-47EC-81F8-C4B5F0DFB620}"/>
    <hyperlink ref="U13" r:id="rId37" xr:uid="{96EEFAD7-CF8B-44E0-81D6-A472E76854C1}"/>
    <hyperlink ref="V13" r:id="rId38" xr:uid="{A8111485-F280-4EC1-AEA7-205416319816}"/>
    <hyperlink ref="W13" r:id="rId39" xr:uid="{0695E8A4-7A81-4777-8A7A-CB16C7219FE3}"/>
    <hyperlink ref="X13" r:id="rId40" xr:uid="{8D1FABA8-CF06-4D94-A50D-29D50D404C2E}"/>
    <hyperlink ref="W14" r:id="rId41" xr:uid="{DC900745-BF32-4458-8A02-49B82263685A}"/>
    <hyperlink ref="X14" r:id="rId42" xr:uid="{76B079D9-A72B-444B-A4C9-9FCEA069F2D3}"/>
    <hyperlink ref="U15" r:id="rId43" xr:uid="{C5253A3B-0827-49EE-8FF1-6D7DAC0217D9}"/>
    <hyperlink ref="V15" r:id="rId44" xr:uid="{6D4DF2C6-7188-4143-B5E7-D2502949A650}"/>
    <hyperlink ref="X15" r:id="rId45" xr:uid="{C51950B2-E420-4A32-BB63-89225BBC76AD}"/>
    <hyperlink ref="U16" r:id="rId46" xr:uid="{097D967C-3F6D-4727-8BA9-6A37B111AF91}"/>
    <hyperlink ref="V16" r:id="rId47" xr:uid="{A280732E-36CE-4F25-AD94-DB4FC2E10CF6}"/>
    <hyperlink ref="W16" r:id="rId48" xr:uid="{D0CFF362-761B-48C0-871E-C12184F8339E}"/>
    <hyperlink ref="X16" r:id="rId49" xr:uid="{F2B9E9EE-6133-4068-AB7D-3D1EDBC2C22B}"/>
    <hyperlink ref="U17" r:id="rId50" xr:uid="{46CA7A45-9CA4-4626-BA3A-381F7930C7AD}"/>
    <hyperlink ref="V17" r:id="rId51" xr:uid="{42BE30D1-2F5B-418F-8495-2E38353D2AA7}"/>
    <hyperlink ref="X17" r:id="rId52" xr:uid="{7CE77D46-0023-469C-8E8B-75674ED3538A}"/>
    <hyperlink ref="U18" r:id="rId53" xr:uid="{064269DD-3443-4254-99B5-C3FECA0CA579}"/>
    <hyperlink ref="V18" r:id="rId54" xr:uid="{03AD4640-53E6-4008-BAFB-B3F037F2644C}"/>
    <hyperlink ref="W18" r:id="rId55" xr:uid="{374D9E4C-7963-48EB-8AA4-6A26E8A11B4E}"/>
    <hyperlink ref="X18" r:id="rId56" xr:uid="{B4AE9A98-32AF-4B43-83A7-E0133D8415FC}"/>
    <hyperlink ref="U19" r:id="rId57" xr:uid="{247CF6CF-6681-4E76-86B1-5F98E25ED6F2}"/>
    <hyperlink ref="V19" r:id="rId58" xr:uid="{6B5A6079-7158-4B4A-BF06-F0A06F2A4F70}"/>
    <hyperlink ref="W19" r:id="rId59" xr:uid="{5B747CB5-C5D3-4BEE-8E6A-6743F6D8E5CC}"/>
    <hyperlink ref="X19" r:id="rId60" xr:uid="{6A309DD9-CF17-45CC-983F-F683CAEE58A1}"/>
    <hyperlink ref="U20" r:id="rId61" xr:uid="{D5E138EC-07E9-41F5-9AAF-5239A268A225}"/>
    <hyperlink ref="V20" r:id="rId62" xr:uid="{241423D1-7707-4183-B8D8-1D3889C03BA5}"/>
    <hyperlink ref="W20" r:id="rId63" xr:uid="{9A981A24-03C2-469A-A4DD-27AD9CB91D42}"/>
    <hyperlink ref="X20" r:id="rId64" xr:uid="{9EA09D93-43AA-4673-9375-6CCEC1B0CE79}"/>
    <hyperlink ref="U21" r:id="rId65" xr:uid="{69C878CD-1B16-4A90-A5B5-F1326F1C7ECF}"/>
    <hyperlink ref="V21" r:id="rId66" xr:uid="{9F3DA76B-8C30-4F08-B5FF-09D258F147F6}"/>
    <hyperlink ref="X21" r:id="rId67" xr:uid="{1E10B9E4-D03C-4A50-AF66-D06EDF3D73E5}"/>
    <hyperlink ref="U22" r:id="rId68" xr:uid="{F6C81866-1CCA-4642-B52C-2ED48808EE6A}"/>
    <hyperlink ref="V22" r:id="rId69" xr:uid="{18FE4689-89A4-4170-BD36-82AD238F8316}"/>
    <hyperlink ref="W22" r:id="rId70" xr:uid="{67BA256B-ADAF-4104-955E-90DD4D4CA3D6}"/>
    <hyperlink ref="X22" r:id="rId71" xr:uid="{7CCFAB91-63B8-480A-A3F0-0AA83A414AE3}"/>
    <hyperlink ref="U23" r:id="rId72" xr:uid="{557E32B1-E258-49E1-AEA8-9FECC7EA8737}"/>
    <hyperlink ref="V23" r:id="rId73" xr:uid="{F5BF5EA7-3E4A-4A77-8BFB-AE6AA062A549}"/>
    <hyperlink ref="W23" r:id="rId74" xr:uid="{0F9E754E-B867-4E48-8FF9-B730A3342C8A}"/>
    <hyperlink ref="X23" r:id="rId75" xr:uid="{1DA2C18F-93EF-470E-80A7-953BAE8150CA}"/>
    <hyperlink ref="U24" r:id="rId76" xr:uid="{D57266DF-4EDB-4718-9BCF-F76C498B5ACE}"/>
    <hyperlink ref="V24" r:id="rId77" xr:uid="{11E5CA26-1793-452D-A4E2-E407B929F860}"/>
    <hyperlink ref="W24" r:id="rId78" xr:uid="{1AEFF898-381E-4401-8B9C-8EFFE4FB011B}"/>
    <hyperlink ref="X24" r:id="rId79" xr:uid="{786231F9-3F8A-4339-8669-D482DC181878}"/>
    <hyperlink ref="U25" r:id="rId80" xr:uid="{64B3E192-7256-4248-9D80-484017E6AE2D}"/>
    <hyperlink ref="V25" r:id="rId81" xr:uid="{F7E4824F-54BA-416D-924F-3B52833F9171}"/>
    <hyperlink ref="X25" r:id="rId82" xr:uid="{DB39FD18-04E4-4F72-87C1-00539C728B80}"/>
    <hyperlink ref="U26" r:id="rId83" xr:uid="{4F208D31-D45C-4448-8E6E-9AC16A8DC595}"/>
    <hyperlink ref="V26" r:id="rId84" xr:uid="{3F0A040F-825D-4938-97EC-9AB8EE9751DF}"/>
    <hyperlink ref="W26" r:id="rId85" xr:uid="{A32D45CC-352C-4B5D-AF6D-7C999D47CA76}"/>
    <hyperlink ref="U27" r:id="rId86" xr:uid="{8301C53B-565D-47B4-A6DA-9FA689CF06CF}"/>
    <hyperlink ref="V27" r:id="rId87" xr:uid="{85B98E01-EA22-405C-82A6-4B2E2C2F7C55}"/>
    <hyperlink ref="W27" r:id="rId88" xr:uid="{904B4E83-81C5-4848-BCF5-AEA1F8A8A71D}"/>
    <hyperlink ref="X27" r:id="rId89" xr:uid="{40115122-A05E-4E9E-B960-939E58BB43E9}"/>
    <hyperlink ref="U28" r:id="rId90" xr:uid="{522A18A8-83CB-4BB1-B5B5-714ADD1E7E40}"/>
    <hyperlink ref="V28" r:id="rId91" xr:uid="{32A31CE7-0BF4-4109-B038-D3418C5C489A}"/>
    <hyperlink ref="W28" r:id="rId92" xr:uid="{4F691391-89F0-41D7-9B27-96AB3149BD54}"/>
    <hyperlink ref="X28" r:id="rId93" xr:uid="{1DD6FF1A-6B01-4CF7-B92D-42046CA27D07}"/>
    <hyperlink ref="U29" r:id="rId94" xr:uid="{D3EC40D1-E409-4507-9C43-6F93DC25BAE5}"/>
    <hyperlink ref="V29" r:id="rId95" xr:uid="{AA1A8367-3F8A-439A-87FE-29B284FC3951}"/>
    <hyperlink ref="W29" r:id="rId96" xr:uid="{24AF8D37-0532-47A2-8A97-904CD0FDA84F}"/>
    <hyperlink ref="X29" r:id="rId97" xr:uid="{F129DBD7-3227-4B5C-B72D-6B02D51694B6}"/>
    <hyperlink ref="U30" r:id="rId98" xr:uid="{72FF8280-EA16-4E8D-8BC5-3A2040C51A06}"/>
    <hyperlink ref="V30" r:id="rId99" xr:uid="{0EB046CB-F0FE-42D9-AE5C-6CB162557D41}"/>
    <hyperlink ref="W30" r:id="rId100" xr:uid="{9253B446-3E49-4610-B078-FFAC2060B84B}"/>
    <hyperlink ref="X30" r:id="rId101" xr:uid="{8E877FC2-3778-4781-9DC7-A3917CA29E6E}"/>
    <hyperlink ref="U31" r:id="rId102" xr:uid="{C3DCC16F-8716-43CC-9D88-1408E051D7DB}"/>
    <hyperlink ref="V31" r:id="rId103" xr:uid="{3095F005-C8A0-4CA1-B7FC-0065840DD19B}"/>
    <hyperlink ref="W31" r:id="rId104" xr:uid="{C02CDEC0-1376-492C-9673-827B0B48D4A3}"/>
    <hyperlink ref="X31" r:id="rId105" xr:uid="{039741F1-305D-43F0-87E2-79C9D4DC8015}"/>
    <hyperlink ref="U32" r:id="rId106" xr:uid="{388FA400-3C91-4A1F-B583-34EAC403CE16}"/>
    <hyperlink ref="V32" r:id="rId107" xr:uid="{85A1D267-1F4D-42A7-8ECF-CE7ABFEDDEFA}"/>
    <hyperlink ref="W32" r:id="rId108" xr:uid="{E4D117AC-669F-4DA8-9883-30FFB1C0C4EB}"/>
    <hyperlink ref="X32" r:id="rId109" xr:uid="{0BBAF61A-21C2-4B14-B89F-291DC3AC65B1}"/>
    <hyperlink ref="U33" r:id="rId110" xr:uid="{23A23EE4-2787-419C-9BCB-7AF7886B47A3}"/>
    <hyperlink ref="V33" r:id="rId111" xr:uid="{B9F0F0A4-4141-4054-BF62-FAD25D059898}"/>
    <hyperlink ref="W33" r:id="rId112" xr:uid="{003D3DC2-25EC-4AD5-B17B-97BF227A02DA}"/>
    <hyperlink ref="X33" r:id="rId113" xr:uid="{777FD07B-6069-410A-A3C6-7FBAAF977E9A}"/>
    <hyperlink ref="U34" r:id="rId114" xr:uid="{76BF9D2F-DA1C-494A-A2CF-C117022BCE68}"/>
    <hyperlink ref="V34" r:id="rId115" xr:uid="{04359006-080D-4679-A8CA-631F39D5D6B3}"/>
    <hyperlink ref="W34" r:id="rId116" xr:uid="{4C5A80D1-0D91-4869-BF72-684A7ADCD854}"/>
    <hyperlink ref="X34" r:id="rId117" xr:uid="{D567138C-CC5A-4DF8-8E65-4D6B6F19E32E}"/>
    <hyperlink ref="U35" r:id="rId118" xr:uid="{AD8F5A5E-F274-4E00-8C38-7A2F778C5F5A}"/>
    <hyperlink ref="V35" r:id="rId119" xr:uid="{0DB47F9A-762A-48A7-B602-AEF75120CD20}"/>
    <hyperlink ref="W35" r:id="rId120" xr:uid="{E7AEBD21-2C22-4CBA-BB9D-3804DE14BF8F}"/>
    <hyperlink ref="X35" r:id="rId121" xr:uid="{99CADC59-87A0-49C8-A6AF-9636DE74CABC}"/>
    <hyperlink ref="U36" r:id="rId122" xr:uid="{552ED68B-2FB5-47FC-9851-CB34393EE682}"/>
    <hyperlink ref="V36" r:id="rId123" xr:uid="{4FE0EA1A-C0A3-428D-9CF0-98266FC7C16D}"/>
    <hyperlink ref="X36" r:id="rId124" xr:uid="{C048DFD1-F49E-4A81-9095-ADF179A93A35}"/>
    <hyperlink ref="U37" r:id="rId125" xr:uid="{9382917C-9951-4C90-B675-6C0E37B5E039}"/>
    <hyperlink ref="V37" r:id="rId126" xr:uid="{F5C283EB-746C-4584-8266-D7F55057F5CC}"/>
    <hyperlink ref="X37" r:id="rId127" xr:uid="{2B90DC7B-BB40-4635-9EDE-39B563F9A321}"/>
    <hyperlink ref="U38" r:id="rId128" xr:uid="{08F1A139-52AB-4CDB-8E4C-F9FA4F1C318F}"/>
    <hyperlink ref="V38" r:id="rId129" xr:uid="{1BFB4195-CC2D-42F0-9829-C7E845BF80C8}"/>
    <hyperlink ref="X38" r:id="rId130" xr:uid="{606A651C-3B29-46D1-B989-BB443ED7D4DB}"/>
    <hyperlink ref="U39" r:id="rId131" xr:uid="{4EC47887-1F45-4F1A-91C9-07A941402ECE}"/>
    <hyperlink ref="V39" r:id="rId132" xr:uid="{AAF91783-6FAF-4B77-95DD-99786FA368A7}"/>
    <hyperlink ref="W39" r:id="rId133" xr:uid="{C62F8623-5D7F-40C7-9440-360B95358ADC}"/>
    <hyperlink ref="X39" r:id="rId134" xr:uid="{7EBC70E5-A538-4F8D-B9B2-3AD8AA8F795C}"/>
    <hyperlink ref="U40" r:id="rId135" xr:uid="{FAEE187A-6C4C-4185-8109-ED16D6281B85}"/>
    <hyperlink ref="V40" r:id="rId136" xr:uid="{C82FF10C-8E38-458F-B28D-0F88CC276C0E}"/>
    <hyperlink ref="W40" r:id="rId137" xr:uid="{D47979A7-5A4C-4D5F-B5FD-D3FB718CCD3F}"/>
    <hyperlink ref="X40" r:id="rId138" xr:uid="{7AC0AED3-26AA-4488-BE9D-CBC6C4A9DCF9}"/>
    <hyperlink ref="U41" r:id="rId139" xr:uid="{28B2AD14-E3D4-449F-89BF-6E900026015A}"/>
    <hyperlink ref="V41" r:id="rId140" xr:uid="{0D580A8C-6494-427E-8225-A3B6EBFCB3C1}"/>
    <hyperlink ref="W41" r:id="rId141" xr:uid="{EED1E3F3-78FE-4549-92E1-C688C5BC31AD}"/>
    <hyperlink ref="X41" r:id="rId142" xr:uid="{79F5BD78-5103-4474-BDF5-67968327512F}"/>
    <hyperlink ref="U42" r:id="rId143" xr:uid="{43A993D5-79A0-4B2B-932A-82E13022AC99}"/>
    <hyperlink ref="V42" r:id="rId144" xr:uid="{8648E60C-56B9-4204-AF24-2B9219396BCC}"/>
    <hyperlink ref="W42" r:id="rId145" xr:uid="{9E771987-2959-494C-A52C-855B0B6A86EC}"/>
    <hyperlink ref="X42" r:id="rId146" xr:uid="{54F05E70-3130-43C6-A8BA-17319227D0F4}"/>
    <hyperlink ref="U43" r:id="rId147" xr:uid="{9F5C407E-4960-4FCC-8661-E267EA91AEA8}"/>
    <hyperlink ref="V43" r:id="rId148" xr:uid="{A33186C2-3971-41A8-B8A9-EB7AB024C69F}"/>
    <hyperlink ref="W43" r:id="rId149" xr:uid="{9DE64AA0-6EB2-4251-9788-6FC096D15ED8}"/>
    <hyperlink ref="X43" r:id="rId150" xr:uid="{793106FD-70BB-474D-81CA-60CB125432EA}"/>
  </hyperlinks>
  <pageMargins left="0.7" right="0.7" top="0.75" bottom="0.75" header="0.3" footer="0.3"/>
  <tableParts count="1">
    <tablePart r:id="rId15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E39"/>
  <sheetViews>
    <sheetView topLeftCell="A13" workbookViewId="0">
      <selection activeCell="E40" sqref="E40"/>
    </sheetView>
  </sheetViews>
  <sheetFormatPr baseColWidth="10" defaultRowHeight="13.2" x14ac:dyDescent="0.25"/>
  <cols>
    <col min="2" max="2" width="39" bestFit="1" customWidth="1"/>
    <col min="3" max="3" width="34" style="7" bestFit="1" customWidth="1"/>
    <col min="4" max="4" width="32.5546875" style="7" bestFit="1" customWidth="1"/>
    <col min="5" max="5" width="67.44140625" bestFit="1" customWidth="1"/>
  </cols>
  <sheetData>
    <row r="1" spans="2:5" x14ac:dyDescent="0.25">
      <c r="B1" s="9" t="s">
        <v>3</v>
      </c>
      <c r="C1" s="9" t="s">
        <v>48</v>
      </c>
      <c r="D1" s="9" t="s">
        <v>49</v>
      </c>
      <c r="E1" s="9" t="s">
        <v>50</v>
      </c>
    </row>
    <row r="2" spans="2:5" x14ac:dyDescent="0.25">
      <c r="B2" s="6" t="s">
        <v>101</v>
      </c>
      <c r="C2" s="7" t="s">
        <v>23</v>
      </c>
      <c r="D2" s="7" t="s">
        <v>23</v>
      </c>
      <c r="E2" t="s">
        <v>237</v>
      </c>
    </row>
    <row r="3" spans="2:5" x14ac:dyDescent="0.25">
      <c r="B3" s="8" t="s">
        <v>109</v>
      </c>
      <c r="C3" s="7" t="s">
        <v>237</v>
      </c>
      <c r="D3" s="7" t="s">
        <v>237</v>
      </c>
      <c r="E3" t="s">
        <v>237</v>
      </c>
    </row>
    <row r="4" spans="2:5" x14ac:dyDescent="0.25">
      <c r="B4" s="6" t="s">
        <v>127</v>
      </c>
      <c r="C4" s="7" t="s">
        <v>23</v>
      </c>
      <c r="D4" s="7" t="s">
        <v>23</v>
      </c>
      <c r="E4" t="s">
        <v>237</v>
      </c>
    </row>
    <row r="5" spans="2:5" x14ac:dyDescent="0.25">
      <c r="B5" s="8" t="s">
        <v>143</v>
      </c>
      <c r="C5" s="7" t="s">
        <v>237</v>
      </c>
      <c r="D5" s="7" t="s">
        <v>237</v>
      </c>
      <c r="E5" t="s">
        <v>237</v>
      </c>
    </row>
    <row r="6" spans="2:5" x14ac:dyDescent="0.25">
      <c r="B6" s="6" t="s">
        <v>143</v>
      </c>
      <c r="C6" s="7" t="s">
        <v>237</v>
      </c>
      <c r="D6" s="7" t="s">
        <v>237</v>
      </c>
      <c r="E6" t="s">
        <v>237</v>
      </c>
    </row>
    <row r="7" spans="2:5" x14ac:dyDescent="0.25">
      <c r="B7" s="8" t="s">
        <v>157</v>
      </c>
      <c r="C7" s="7" t="s">
        <v>237</v>
      </c>
      <c r="D7" s="7" t="s">
        <v>237</v>
      </c>
      <c r="E7" t="s">
        <v>237</v>
      </c>
    </row>
    <row r="8" spans="2:5" x14ac:dyDescent="0.25">
      <c r="B8" s="6" t="s">
        <v>165</v>
      </c>
      <c r="C8" s="7" t="s">
        <v>237</v>
      </c>
      <c r="D8" s="7" t="s">
        <v>237</v>
      </c>
      <c r="E8" t="s">
        <v>237</v>
      </c>
    </row>
    <row r="9" spans="2:5" x14ac:dyDescent="0.25">
      <c r="B9" s="6" t="s">
        <v>143</v>
      </c>
      <c r="C9" s="7" t="s">
        <v>237</v>
      </c>
      <c r="D9" s="7" t="s">
        <v>237</v>
      </c>
      <c r="E9" t="s">
        <v>237</v>
      </c>
    </row>
    <row r="10" spans="2:5" x14ac:dyDescent="0.25">
      <c r="B10" s="6" t="s">
        <v>101</v>
      </c>
      <c r="C10" s="7" t="s">
        <v>23</v>
      </c>
      <c r="D10" s="7" t="s">
        <v>23</v>
      </c>
      <c r="E10" t="s">
        <v>237</v>
      </c>
    </row>
    <row r="11" spans="2:5" x14ac:dyDescent="0.25">
      <c r="B11" s="6" t="s">
        <v>221</v>
      </c>
      <c r="C11" s="7" t="s">
        <v>237</v>
      </c>
      <c r="D11" s="7" t="s">
        <v>237</v>
      </c>
      <c r="E11" t="s">
        <v>237</v>
      </c>
    </row>
    <row r="12" spans="2:5" x14ac:dyDescent="0.25">
      <c r="B12" s="6" t="s">
        <v>101</v>
      </c>
      <c r="C12" s="7" t="s">
        <v>237</v>
      </c>
      <c r="D12" s="7" t="s">
        <v>237</v>
      </c>
      <c r="E12" t="s">
        <v>237</v>
      </c>
    </row>
    <row r="13" spans="2:5" x14ac:dyDescent="0.25">
      <c r="B13" s="6" t="s">
        <v>340</v>
      </c>
      <c r="C13" s="7" t="s">
        <v>237</v>
      </c>
      <c r="D13" s="7" t="s">
        <v>237</v>
      </c>
      <c r="E13" t="s">
        <v>237</v>
      </c>
    </row>
    <row r="14" spans="2:5" x14ac:dyDescent="0.25">
      <c r="B14" s="8" t="s">
        <v>348</v>
      </c>
      <c r="C14" s="7" t="s">
        <v>237</v>
      </c>
      <c r="D14" s="7" t="s">
        <v>237</v>
      </c>
      <c r="E14" t="s">
        <v>237</v>
      </c>
    </row>
    <row r="15" spans="2:5" x14ac:dyDescent="0.25">
      <c r="B15" s="6" t="s">
        <v>157</v>
      </c>
      <c r="C15" s="7" t="s">
        <v>237</v>
      </c>
      <c r="D15" s="7" t="s">
        <v>237</v>
      </c>
      <c r="E15" t="s">
        <v>237</v>
      </c>
    </row>
    <row r="16" spans="2:5" x14ac:dyDescent="0.25">
      <c r="B16" s="8" t="s">
        <v>364</v>
      </c>
      <c r="C16" s="7" t="s">
        <v>237</v>
      </c>
      <c r="D16" s="7" t="s">
        <v>237</v>
      </c>
      <c r="E16" t="s">
        <v>237</v>
      </c>
    </row>
    <row r="17" spans="2:5" x14ac:dyDescent="0.25">
      <c r="B17" s="6" t="s">
        <v>143</v>
      </c>
      <c r="C17" s="7" t="s">
        <v>237</v>
      </c>
      <c r="D17" s="7" t="s">
        <v>237</v>
      </c>
      <c r="E17" t="s">
        <v>237</v>
      </c>
    </row>
    <row r="18" spans="2:5" x14ac:dyDescent="0.25">
      <c r="B18" s="6" t="s">
        <v>16</v>
      </c>
      <c r="C18" s="7" t="s">
        <v>23</v>
      </c>
      <c r="D18" s="7" t="s">
        <v>23</v>
      </c>
      <c r="E18" t="s">
        <v>237</v>
      </c>
    </row>
    <row r="19" spans="2:5" x14ac:dyDescent="0.25">
      <c r="B19" s="8" t="s">
        <v>33</v>
      </c>
      <c r="C19" s="7" t="s">
        <v>23</v>
      </c>
      <c r="D19" s="7" t="s">
        <v>23</v>
      </c>
      <c r="E19" t="s">
        <v>117</v>
      </c>
    </row>
    <row r="20" spans="2:5" x14ac:dyDescent="0.25">
      <c r="B20" s="6" t="s">
        <v>33</v>
      </c>
      <c r="C20" s="7" t="s">
        <v>23</v>
      </c>
      <c r="D20" s="7" t="s">
        <v>23</v>
      </c>
      <c r="E20" t="s">
        <v>117</v>
      </c>
    </row>
    <row r="21" spans="2:5" x14ac:dyDescent="0.25">
      <c r="B21" s="8" t="s">
        <v>52</v>
      </c>
      <c r="C21" s="7" t="s">
        <v>23</v>
      </c>
      <c r="D21" s="7" t="s">
        <v>237</v>
      </c>
      <c r="E21" t="s">
        <v>237</v>
      </c>
    </row>
    <row r="22" spans="2:5" x14ac:dyDescent="0.25">
      <c r="B22" s="6" t="s">
        <v>63</v>
      </c>
      <c r="C22" s="7" t="s">
        <v>23</v>
      </c>
      <c r="D22" s="7" t="s">
        <v>23</v>
      </c>
      <c r="E22" t="s">
        <v>237</v>
      </c>
    </row>
    <row r="23" spans="2:5" x14ac:dyDescent="0.25">
      <c r="B23" s="8" t="s">
        <v>75</v>
      </c>
      <c r="C23" s="7" t="s">
        <v>23</v>
      </c>
      <c r="D23" s="7" t="s">
        <v>237</v>
      </c>
      <c r="E23" t="s">
        <v>237</v>
      </c>
    </row>
    <row r="24" spans="2:5" x14ac:dyDescent="0.25">
      <c r="B24" s="6" t="s">
        <v>84</v>
      </c>
      <c r="C24" s="7" t="s">
        <v>23</v>
      </c>
      <c r="D24" s="7" t="s">
        <v>23</v>
      </c>
      <c r="E24" t="s">
        <v>237</v>
      </c>
    </row>
    <row r="25" spans="2:5" x14ac:dyDescent="0.25">
      <c r="B25" s="8" t="s">
        <v>52</v>
      </c>
      <c r="C25" s="7" t="s">
        <v>23</v>
      </c>
      <c r="D25" s="7" t="s">
        <v>237</v>
      </c>
      <c r="E25" t="s">
        <v>237</v>
      </c>
    </row>
    <row r="26" spans="2:5" x14ac:dyDescent="0.25">
      <c r="B26" s="8" t="s">
        <v>174</v>
      </c>
      <c r="C26" s="7" t="s">
        <v>23</v>
      </c>
      <c r="D26" s="7" t="s">
        <v>23</v>
      </c>
      <c r="E26" t="s">
        <v>237</v>
      </c>
    </row>
    <row r="27" spans="2:5" x14ac:dyDescent="0.25">
      <c r="B27" s="8" t="s">
        <v>63</v>
      </c>
      <c r="C27" s="7" t="s">
        <v>23</v>
      </c>
      <c r="D27" s="7" t="s">
        <v>237</v>
      </c>
      <c r="E27" t="s">
        <v>237</v>
      </c>
    </row>
    <row r="28" spans="2:5" x14ac:dyDescent="0.25">
      <c r="B28" s="8" t="s">
        <v>84</v>
      </c>
      <c r="C28" s="7" t="s">
        <v>23</v>
      </c>
      <c r="D28" s="7" t="s">
        <v>237</v>
      </c>
      <c r="E28" t="s">
        <v>237</v>
      </c>
    </row>
    <row r="29" spans="2:5" x14ac:dyDescent="0.25">
      <c r="B29" s="6" t="s">
        <v>63</v>
      </c>
      <c r="C29" s="7" t="s">
        <v>23</v>
      </c>
      <c r="D29" s="7" t="s">
        <v>237</v>
      </c>
      <c r="E29" t="s">
        <v>237</v>
      </c>
    </row>
    <row r="30" spans="2:5" x14ac:dyDescent="0.25">
      <c r="B30" s="8" t="s">
        <v>221</v>
      </c>
      <c r="C30" s="7" t="s">
        <v>23</v>
      </c>
      <c r="D30" s="7" t="s">
        <v>23</v>
      </c>
      <c r="E30" t="s">
        <v>237</v>
      </c>
    </row>
    <row r="31" spans="2:5" x14ac:dyDescent="0.25">
      <c r="B31" s="8" t="s">
        <v>75</v>
      </c>
      <c r="C31" s="7" t="s">
        <v>23</v>
      </c>
      <c r="D31" s="7" t="s">
        <v>237</v>
      </c>
      <c r="E31" t="s">
        <v>237</v>
      </c>
    </row>
    <row r="32" spans="2:5" x14ac:dyDescent="0.25">
      <c r="B32" s="6" t="s">
        <v>221</v>
      </c>
      <c r="C32" s="7" t="s">
        <v>23</v>
      </c>
      <c r="D32" s="7" t="s">
        <v>23</v>
      </c>
      <c r="E32" t="s">
        <v>237</v>
      </c>
    </row>
    <row r="33" spans="2:5" x14ac:dyDescent="0.25">
      <c r="B33" s="8" t="s">
        <v>253</v>
      </c>
      <c r="C33" s="7" t="s">
        <v>23</v>
      </c>
      <c r="D33" s="7" t="s">
        <v>23</v>
      </c>
      <c r="E33" t="s">
        <v>237</v>
      </c>
    </row>
    <row r="34" spans="2:5" x14ac:dyDescent="0.25">
      <c r="B34" s="6" t="s">
        <v>84</v>
      </c>
      <c r="C34" s="7" t="s">
        <v>23</v>
      </c>
      <c r="D34" s="7" t="s">
        <v>23</v>
      </c>
      <c r="E34" t="s">
        <v>237</v>
      </c>
    </row>
    <row r="35" spans="2:5" x14ac:dyDescent="0.25">
      <c r="B35" s="8" t="s">
        <v>221</v>
      </c>
      <c r="C35" s="7" t="s">
        <v>23</v>
      </c>
      <c r="D35" s="7" t="s">
        <v>23</v>
      </c>
      <c r="E35" t="s">
        <v>237</v>
      </c>
    </row>
    <row r="36" spans="2:5" x14ac:dyDescent="0.25">
      <c r="B36" s="6" t="s">
        <v>277</v>
      </c>
      <c r="C36" s="7" t="s">
        <v>23</v>
      </c>
      <c r="D36" s="7" t="s">
        <v>237</v>
      </c>
      <c r="E36" t="s">
        <v>237</v>
      </c>
    </row>
    <row r="37" spans="2:5" x14ac:dyDescent="0.25">
      <c r="B37" s="8" t="s">
        <v>253</v>
      </c>
      <c r="C37" s="7" t="s">
        <v>23</v>
      </c>
      <c r="D37" s="7" t="s">
        <v>23</v>
      </c>
      <c r="E37" t="s">
        <v>237</v>
      </c>
    </row>
    <row r="38" spans="2:5" x14ac:dyDescent="0.25">
      <c r="B38" s="6" t="s">
        <v>221</v>
      </c>
      <c r="C38" s="7" t="s">
        <v>23</v>
      </c>
      <c r="D38" s="7" t="s">
        <v>23</v>
      </c>
      <c r="E38" t="s">
        <v>237</v>
      </c>
    </row>
    <row r="39" spans="2:5" x14ac:dyDescent="0.25">
      <c r="B39" s="8" t="s">
        <v>63</v>
      </c>
      <c r="C39" s="7" t="s">
        <v>23</v>
      </c>
      <c r="D39" s="7" t="s">
        <v>237</v>
      </c>
      <c r="E39" t="s">
        <v>237</v>
      </c>
    </row>
  </sheetData>
  <autoFilter ref="B1:D39" xr:uid="{77B86AD5-214A-4E29-8C3C-D28012B13A5F}"/>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2026-09-09T12:33:37Z</dcterms:modified>
</cp:coreProperties>
</file>