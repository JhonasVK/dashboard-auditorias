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AuditoriasTerreno\data\"/>
    </mc:Choice>
  </mc:AlternateContent>
  <xr:revisionPtr revIDLastSave="0" documentId="13_ncr:1_{F695084F-9F37-4CBC-BE5A-3FC8735165E3}" xr6:coauthVersionLast="47" xr6:coauthVersionMax="47" xr10:uidLastSave="{00000000-0000-0000-0000-000000000000}"/>
  <bookViews>
    <workbookView xWindow="-108" yWindow="-108" windowWidth="23256" windowHeight="12456" xr2:uid="{00000000-000D-0000-FFFF-FFFF00000000}"/>
  </bookViews>
  <sheets>
    <sheet name="Respuestas de formulario 1" sheetId="1" r:id="rId1"/>
    <sheet name="masa de trabajo" sheetId="2" r:id="rId2"/>
  </sheets>
  <definedNames>
    <definedName name="_xlnm._FilterDatabase" localSheetId="1" hidden="1">'masa de trabajo'!$B$1:$D$39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J9" i="1" l="1"/>
  <c r="AJ10" i="1"/>
  <c r="AJ11" i="1"/>
  <c r="AJ12" i="1"/>
  <c r="AJ13" i="1"/>
  <c r="AJ14" i="1"/>
  <c r="AJ15" i="1"/>
  <c r="AJ16" i="1"/>
  <c r="AJ17" i="1"/>
  <c r="AJ18" i="1"/>
  <c r="AJ19" i="1"/>
  <c r="AJ20" i="1"/>
  <c r="AJ21" i="1"/>
  <c r="AJ22" i="1"/>
  <c r="AJ23" i="1"/>
  <c r="AJ24" i="1"/>
  <c r="AJ25" i="1"/>
  <c r="AJ26" i="1"/>
  <c r="AJ27" i="1"/>
  <c r="AJ28" i="1"/>
  <c r="AJ29" i="1"/>
  <c r="AJ30" i="1"/>
  <c r="AJ31" i="1"/>
  <c r="AJ32" i="1"/>
  <c r="AJ33" i="1"/>
  <c r="AJ34" i="1"/>
  <c r="AJ35" i="1"/>
  <c r="AJ36" i="1"/>
  <c r="AJ37" i="1"/>
  <c r="AJ38" i="1"/>
  <c r="AJ39" i="1"/>
  <c r="AJ40" i="1"/>
  <c r="AJ41" i="1"/>
  <c r="AJ42" i="1"/>
  <c r="AJ3" i="1"/>
  <c r="AJ4" i="1"/>
  <c r="AJ5" i="1"/>
  <c r="AJ6" i="1"/>
  <c r="AJ7" i="1"/>
  <c r="AJ8" i="1"/>
  <c r="AJ2" i="1"/>
  <c r="AI3" i="1"/>
  <c r="AI4" i="1"/>
  <c r="AI5" i="1"/>
  <c r="AI6" i="1"/>
  <c r="AI7" i="1"/>
  <c r="AI8" i="1"/>
  <c r="AI9" i="1"/>
  <c r="AI10" i="1"/>
  <c r="AI11" i="1"/>
  <c r="AI12" i="1"/>
  <c r="AI13" i="1"/>
  <c r="AI14" i="1"/>
  <c r="AI15" i="1"/>
  <c r="AI16" i="1"/>
  <c r="AI17" i="1"/>
  <c r="AI18" i="1"/>
  <c r="AI19" i="1"/>
  <c r="AI20" i="1"/>
  <c r="AI21" i="1"/>
  <c r="AI22" i="1"/>
  <c r="AI23" i="1"/>
  <c r="AI24" i="1"/>
  <c r="AI25" i="1"/>
  <c r="AI26" i="1"/>
  <c r="AI27" i="1"/>
  <c r="AI28" i="1"/>
  <c r="AI29" i="1"/>
  <c r="AI30" i="1"/>
  <c r="AI31" i="1"/>
  <c r="AI32" i="1"/>
  <c r="AI33" i="1"/>
  <c r="AI34" i="1"/>
  <c r="AI35" i="1"/>
  <c r="AI36" i="1"/>
  <c r="AI37" i="1"/>
  <c r="AI38" i="1"/>
  <c r="AI39" i="1"/>
  <c r="AI40" i="1"/>
  <c r="AI41" i="1"/>
  <c r="AI42" i="1"/>
  <c r="AI2" i="1"/>
  <c r="AH2" i="1"/>
  <c r="AH3" i="1"/>
  <c r="AH4" i="1"/>
  <c r="AH5" i="1"/>
  <c r="AH6" i="1"/>
  <c r="AH7" i="1"/>
  <c r="AH8" i="1"/>
  <c r="AH9" i="1"/>
  <c r="AH10" i="1"/>
  <c r="AH11" i="1"/>
  <c r="AH12" i="1"/>
  <c r="AH13" i="1"/>
  <c r="AH14" i="1"/>
  <c r="AH15" i="1"/>
  <c r="AH16" i="1"/>
  <c r="AH17" i="1"/>
  <c r="AH18" i="1"/>
  <c r="AH19" i="1"/>
  <c r="AH20" i="1"/>
  <c r="AH21" i="1"/>
  <c r="AH22" i="1"/>
  <c r="AH23" i="1"/>
  <c r="AH24" i="1"/>
  <c r="AH25" i="1"/>
  <c r="AH26" i="1"/>
  <c r="AH27" i="1"/>
  <c r="AH28" i="1"/>
  <c r="AH29" i="1"/>
  <c r="AH30" i="1"/>
  <c r="AH31" i="1"/>
  <c r="AH32" i="1"/>
  <c r="AH33" i="1"/>
  <c r="AH34" i="1"/>
  <c r="AH35" i="1"/>
  <c r="AH36" i="1"/>
  <c r="AH37" i="1"/>
  <c r="AH38" i="1"/>
  <c r="AH39" i="1"/>
  <c r="AH40" i="1"/>
  <c r="AH41" i="1"/>
  <c r="AH42" i="1"/>
</calcChain>
</file>

<file path=xl/sharedStrings.xml><?xml version="1.0" encoding="utf-8"?>
<sst xmlns="http://schemas.openxmlformats.org/spreadsheetml/2006/main" count="1143" uniqueCount="378">
  <si>
    <t>Marca temporal</t>
  </si>
  <si>
    <t>Puntuación</t>
  </si>
  <si>
    <t xml:space="preserve">N° PETICIÓN </t>
  </si>
  <si>
    <t>Nombre Técnico</t>
  </si>
  <si>
    <t>SUPERVISOR</t>
  </si>
  <si>
    <t>Se ejecuto la actividad</t>
  </si>
  <si>
    <t>Se concreta auditoria?</t>
  </si>
  <si>
    <t>Motivo de la derivación</t>
  </si>
  <si>
    <t>Repetidor Cableado</t>
  </si>
  <si>
    <t>Cantidad Decodificadores</t>
  </si>
  <si>
    <t>Capacitación  al Cliente</t>
  </si>
  <si>
    <t xml:space="preserve">Nota de Estética del cableado </t>
  </si>
  <si>
    <t>Fotografía  Módem</t>
  </si>
  <si>
    <t>Fotografías</t>
  </si>
  <si>
    <t xml:space="preserve">Técnico cumple correctamente con su función?  </t>
  </si>
  <si>
    <t>1-3MZZBB80</t>
  </si>
  <si>
    <t>FERNANDO ALEXIS SANCHEZ ZAMORA</t>
  </si>
  <si>
    <t>JULIO CABRERA</t>
  </si>
  <si>
    <t>Si</t>
  </si>
  <si>
    <t>En Conjunto con Técnico</t>
  </si>
  <si>
    <t>Migracion</t>
  </si>
  <si>
    <t>NO</t>
  </si>
  <si>
    <t>Puerto de palos 38</t>
  </si>
  <si>
    <t>SI</t>
  </si>
  <si>
    <t>Solo internet</t>
  </si>
  <si>
    <t>Michelle Hernandez</t>
  </si>
  <si>
    <t>https://drive.google.com/open?id=1eLiAAX-JitqlZ_Uy1Wtqd-BaYuer__sy</t>
  </si>
  <si>
    <t>https://drive.google.com/open?id=1M5W9rcXFlyTmREE9KJFCGx1z3V3z78jK</t>
  </si>
  <si>
    <t>https://drive.google.com/open?id=1KsGJ-oxout_7n7kZQlBeuIYexSo59vI8</t>
  </si>
  <si>
    <t>https://drive.google.com/open?id=1ugWq8gxEvzZ3Zrq6Vt4RfT-zPz7aB4ol</t>
  </si>
  <si>
    <t>Si Cumple</t>
  </si>
  <si>
    <t>Drop sin soportes , faltó pasamuro.</t>
  </si>
  <si>
    <t>1-3NOSIUO9</t>
  </si>
  <si>
    <t>ALMAZABAL TORO ALEJANDRO ADRIAN</t>
  </si>
  <si>
    <t>Lago Zenteno 1530</t>
  </si>
  <si>
    <t>Isabel Barraza</t>
  </si>
  <si>
    <t>https://drive.google.com/open?id=12iqDQ8PRPzKO0ZtxepVFD_lo9Oak1i0A</t>
  </si>
  <si>
    <t>https://drive.google.com/open?id=1kU25jEZiCTDYyeWXk7c2rwKjJW51ip9r</t>
  </si>
  <si>
    <t>https://drive.google.com/open?id=1JiROAHGcZpKBb8AYqsKEkaQIUwITYdd-</t>
  </si>
  <si>
    <t>Instalación interior edificio no lleva pasamuro.</t>
  </si>
  <si>
    <t>1-3N1EXH6Z</t>
  </si>
  <si>
    <t>Instalacion</t>
  </si>
  <si>
    <t>Variante Agua Santa 1400</t>
  </si>
  <si>
    <t>Doris Perez</t>
  </si>
  <si>
    <t>https://drive.google.com/open?id=1fjU3RvPo3EX5BcpGMOPN3bz-u6iU2Q4I</t>
  </si>
  <si>
    <t>https://drive.google.com/open?id=17lXQX1mTuaoqy9ifOYdLztSv-UjgbzJ7</t>
  </si>
  <si>
    <t>https://drive.google.com/open?id=1ecPUCwGEQYjplmfEYtFc221G1_0qA_T9</t>
  </si>
  <si>
    <t>Instalación por ductos , no lleva pasamuros.</t>
  </si>
  <si>
    <t>Se llevó a cabo la mesa de trabajo.</t>
  </si>
  <si>
    <t>Se cerró el proceso con el técnico?</t>
  </si>
  <si>
    <t xml:space="preserve">Observaciones </t>
  </si>
  <si>
    <t>1-3N1OD3VC</t>
  </si>
  <si>
    <t>LUIS ROBERTO QUIROGA SEGUEL</t>
  </si>
  <si>
    <t>DANILO OJEDA</t>
  </si>
  <si>
    <t>Modificacion</t>
  </si>
  <si>
    <t xml:space="preserve">Pasaje diesiseis 4576, Quinta Normal </t>
  </si>
  <si>
    <t xml:space="preserve">Alvara Ceron </t>
  </si>
  <si>
    <t>https://drive.google.com/open?id=1xRoqVLV7TnRBkCtOSTEgYjJzWnnxmSh9</t>
  </si>
  <si>
    <t>https://drive.google.com/open?id=1HftL8nuwMbjUi_N_uPN54iieHc1SNhZ7</t>
  </si>
  <si>
    <t>https://drive.google.com/open?id=19_stumq0aaIfxRLjsrQcctleoeYxzyCD</t>
  </si>
  <si>
    <t>https://drive.google.com/open?id=1IfDHf1Ap0Yyo32pZFKUGiyCTMwkquF8X</t>
  </si>
  <si>
    <t xml:space="preserve">No instala soporte drop, la capacitación sobre el uso del control, cliente manifestó que su hija lo vería después, ella no quedo clara, roseta instalada sobre 30 centímetros a petición de cliente. </t>
  </si>
  <si>
    <t>1-3N3QTY2X</t>
  </si>
  <si>
    <t>BENJAMIN ALEJANDRO PEREZ POVEDA</t>
  </si>
  <si>
    <t>ROLANDO MOTOYA</t>
  </si>
  <si>
    <t>Reparacion</t>
  </si>
  <si>
    <t>MEXICO 1163</t>
  </si>
  <si>
    <t xml:space="preserve">DANES AMADOR SABA MIOSOTI </t>
  </si>
  <si>
    <t>https://drive.google.com/open?id=1Ct3HMcGgtkRN1ays-ZSxeiG2cr3txlbM</t>
  </si>
  <si>
    <t>https://drive.google.com/open?id=1cAg185xHKS5Jvh4Ti7ijYMyyD7sf934v</t>
  </si>
  <si>
    <t>https://drive.google.com/open?id=1FMSZOl4jm7NCv0YV2I76OTv48kR4YjC0</t>
  </si>
  <si>
    <t>https://drive.google.com/open?id=1n6c6KG1MLLnZmc2xervPDiZcGEiOiCyi</t>
  </si>
  <si>
    <t>No Cumple</t>
  </si>
  <si>
    <t>Tecnico no utiliza one click segun procedimiento
Cliente en reparacion representa problemas de inestabilidad en navegación ,desconexiones y lentitud en descargas
Se verifica cobertura con app wifi analizar encontrando problemas de cobertura( -63dbm) ,se solicita repetidor wifi como mejoramiento de servicio en petición 1-3N4VBVMB quedando con -44 dbm -50 dbm y -38 dbm..veloc.en app marca 544 Mbps en domicilio ..se prueba conexiones con cliente quedando conforme .
Nota se debió solicitar repetidor desde la.peticion de instalacion por técnico instalador de otras eps</t>
  </si>
  <si>
    <t>1-3N1EXTB4</t>
  </si>
  <si>
    <t>JORGE LUIS REYES TOLOZA</t>
  </si>
  <si>
    <t xml:space="preserve">Alsino 4691 torre B dpto 54, Quinta Normal </t>
  </si>
  <si>
    <t>No</t>
  </si>
  <si>
    <t>MINERVA DEL CARMEN LLANOS SANHUEZA</t>
  </si>
  <si>
    <t>https://drive.google.com/open?id=1YKKAkGD4EQW-dPfPbHSEbpsBuE7HuDQ2</t>
  </si>
  <si>
    <t>https://drive.google.com/open?id=1PhtfDwK7_KSjjmrTzZRu8eaRaS76mByG</t>
  </si>
  <si>
    <t>https://drive.google.com/open?id=1qvV5AHtlp5_I4SZ6Ec-EBbt55zMespJ8</t>
  </si>
  <si>
    <t>No limpia fibra con alcohol isopropilico, no capacita a cliente</t>
  </si>
  <si>
    <t>1-3N4ZJYPV</t>
  </si>
  <si>
    <t>EUDIS JESUS ALDAMA MARIN</t>
  </si>
  <si>
    <t xml:space="preserve">Freirina 2024, Independencia </t>
  </si>
  <si>
    <t>Guillermina Retamal Barrera</t>
  </si>
  <si>
    <t>https://drive.google.com/open?id=1WwnXsHKOqdcxhVKy7K78PfZqcdpIXWPD</t>
  </si>
  <si>
    <t>https://drive.google.com/open?id=1a49an2Uxx5--xhVG5AJh9DzmiTTr-8zE</t>
  </si>
  <si>
    <t>https://drive.google.com/open?id=1cFFm7QlOqMpnPhvBRjg5rcmtQTiDSSzl</t>
  </si>
  <si>
    <t>https://drive.google.com/open?id=1hUQTu7-Yh2d6RG0qCUag9TKWRnYl2eLN</t>
  </si>
  <si>
    <t>No instala pasa muros, cliente posee adaptador de red para decodificador por cobertura</t>
  </si>
  <si>
    <t>1-3N38LO21</t>
  </si>
  <si>
    <t xml:space="preserve">Neuquen 1658, Quinta Normal </t>
  </si>
  <si>
    <t>Jonhy Arevalo</t>
  </si>
  <si>
    <t>https://drive.google.com/open?id=1nF8b6PoUw5jmaMs3GmfPKH9f_sIPQnnU</t>
  </si>
  <si>
    <t>https://drive.google.com/open?id=1bm95wbg0W4QfOhTQ-l3iSNpuXZbayYdA</t>
  </si>
  <si>
    <t>https://drive.google.com/open?id=13gcBcAKvwZidaHyvwSsOryf5yBWRFTBU</t>
  </si>
  <si>
    <t>https://drive.google.com/open?id=1_qsmYESpm1TZYZBTcSA0bVI1OVnaOqPZ</t>
  </si>
  <si>
    <t>No limpia fibra con alcohol isopropilico fibra</t>
  </si>
  <si>
    <t>1-3N5HPGPG</t>
  </si>
  <si>
    <t>LUIS ROBERTO BAIGORRIA CORDOVA</t>
  </si>
  <si>
    <t>Jackson 785 torre Y depto. 201</t>
  </si>
  <si>
    <t>Andrés Díaz y Sra.</t>
  </si>
  <si>
    <t>https://drive.google.com/open?id=1CSmuYQmqrvrMUUa4nf16cG0GkGD3SynA</t>
  </si>
  <si>
    <t>https://drive.google.com/open?id=1C7xbpqRZdhbFYfcF4iO3wNkPMuE8MDbR</t>
  </si>
  <si>
    <t>https://drive.google.com/open?id=1I5m3DHoB2XXOa5jOrNIsndX1rQFjkuR3</t>
  </si>
  <si>
    <t>Roseta con clavo , pilar del edificio concreto.</t>
  </si>
  <si>
    <t>1-3N6QA80X</t>
  </si>
  <si>
    <t>MARCO ALEXANDER BENITEZ FERNANDEZ</t>
  </si>
  <si>
    <t>Rodolfo Mondolfo 6865, Quinta Normal</t>
  </si>
  <si>
    <t>LEONARDO ENRIQUE ROLACK REBOLLEDO</t>
  </si>
  <si>
    <t>https://drive.google.com/open?id=1OP1hPRSdOrAR3cXLiyxw1o2ogy31xmuT</t>
  </si>
  <si>
    <t>https://drive.google.com/open?id=1OujuqSLPbgqHCXkRhnw6h9V5HL8K4Mfe</t>
  </si>
  <si>
    <t>https://drive.google.com/open?id=1WN_3WV6vkXedBc7VCDP6LUrRSoYcekyB</t>
  </si>
  <si>
    <t>https://drive.google.com/open?id=1HSK3BJ7Qx0WE7hATyxPl7JT9fsOOK1DZ</t>
  </si>
  <si>
    <t xml:space="preserve">Roseta instalada fuera de norma a petición de cliente, técnico cumple protocolo según informado hoy a todo el plantel en reunión. Queda pendiente auditoria post instalación </t>
  </si>
  <si>
    <t>Auque se nota una mejora, se realizara evantualemete seguimiento a los trabajos</t>
  </si>
  <si>
    <t>Auditoria</t>
  </si>
  <si>
    <t>Actividad</t>
  </si>
  <si>
    <t>Instala drop con soportes</t>
  </si>
  <si>
    <t xml:space="preserve">Utiliza OneClick para realizar limpieza a conectores </t>
  </si>
  <si>
    <t xml:space="preserve">Drop se encuentra encuentra dentro de norma de instalaciones </t>
  </si>
  <si>
    <t xml:space="preserve">Reutiliza Instalación </t>
  </si>
  <si>
    <t xml:space="preserve">Utiliza Alcohol isopropilico </t>
  </si>
  <si>
    <t xml:space="preserve">Reutiliza Instalación de otra compañía </t>
  </si>
  <si>
    <t>1-3N5LOYRR</t>
  </si>
  <si>
    <t>BRAULIO DANILO DIAZ CORNEJO</t>
  </si>
  <si>
    <t>Post Instalacion</t>
  </si>
  <si>
    <t>San Francisco 32 efif.H</t>
  </si>
  <si>
    <t>Graciela Toro</t>
  </si>
  <si>
    <t>Instalación acorde a los procedimientos.</t>
  </si>
  <si>
    <r>
      <rPr>
        <b/>
        <sz val="10"/>
        <color theme="1"/>
        <rFont val="Arial"/>
      </rPr>
      <t xml:space="preserve">DIRECCIÓN </t>
    </r>
    <r>
      <rPr>
        <i/>
        <sz val="10"/>
        <color theme="1"/>
        <rFont val="Arial"/>
      </rPr>
      <t>(Calle - Numero)</t>
    </r>
    <r>
      <rPr>
        <sz val="10"/>
        <color theme="1"/>
        <rFont val="Arial"/>
      </rPr>
      <t xml:space="preserve"> </t>
    </r>
  </si>
  <si>
    <r>
      <rPr>
        <b/>
        <sz val="10"/>
        <color theme="1"/>
        <rFont val="Arial"/>
      </rPr>
      <t>Instala Pasa-muros</t>
    </r>
    <r>
      <rPr>
        <sz val="10"/>
        <color theme="1"/>
        <rFont val="Arial"/>
      </rPr>
      <t xml:space="preserve"> </t>
    </r>
  </si>
  <si>
    <r>
      <rPr>
        <b/>
        <sz val="10"/>
        <color theme="1"/>
        <rFont val="Arial"/>
      </rPr>
      <t>Roseta Óptica en norma y atornillada</t>
    </r>
    <r>
      <rPr>
        <sz val="10"/>
        <color theme="1"/>
        <rFont val="Arial"/>
      </rPr>
      <t xml:space="preserve"> </t>
    </r>
  </si>
  <si>
    <r>
      <rPr>
        <b/>
        <sz val="10"/>
        <color theme="1"/>
        <rFont val="Arial"/>
      </rPr>
      <t>Deja Área de Trabajo Limpio</t>
    </r>
    <r>
      <rPr>
        <sz val="10"/>
        <color theme="1"/>
        <rFont val="Arial"/>
      </rPr>
      <t xml:space="preserve"> </t>
    </r>
  </si>
  <si>
    <r>
      <rPr>
        <b/>
        <sz val="10"/>
        <color theme="1"/>
        <rFont val="Arial"/>
      </rPr>
      <t xml:space="preserve">Quien </t>
    </r>
    <r>
      <rPr>
        <b/>
        <sz val="10"/>
        <color theme="1"/>
        <rFont val="Arial"/>
      </rPr>
      <t>r</t>
    </r>
    <r>
      <rPr>
        <b/>
        <sz val="10"/>
        <color theme="1"/>
        <rFont val="Arial"/>
      </rPr>
      <t>ecibe en domicilio</t>
    </r>
  </si>
  <si>
    <r>
      <rPr>
        <b/>
        <sz val="10"/>
        <color theme="1"/>
        <rFont val="Arial"/>
      </rPr>
      <t>Fotografía Roseta  Óptica Atornillada</t>
    </r>
    <r>
      <rPr>
        <sz val="10"/>
        <color theme="1"/>
        <rFont val="Arial"/>
      </rPr>
      <t xml:space="preserve"> </t>
    </r>
  </si>
  <si>
    <r>
      <rPr>
        <b/>
        <sz val="10"/>
        <color theme="1"/>
        <rFont val="Arial"/>
      </rPr>
      <t>Fotografías Pasa-muros</t>
    </r>
    <r>
      <rPr>
        <sz val="10"/>
        <color theme="1"/>
        <rFont val="Arial"/>
      </rPr>
      <t xml:space="preserve"> </t>
    </r>
  </si>
  <si>
    <r>
      <rPr>
        <b/>
        <sz val="10"/>
        <color theme="1"/>
        <rFont val="Arial"/>
      </rPr>
      <t>Estado Auditoria</t>
    </r>
    <r>
      <rPr>
        <sz val="10"/>
        <color theme="1"/>
        <rFont val="Arial"/>
      </rPr>
      <t xml:space="preserve"> </t>
    </r>
  </si>
  <si>
    <r>
      <rPr>
        <b/>
        <sz val="10"/>
        <color theme="1"/>
        <rFont val="Arial"/>
      </rPr>
      <t>Con que nota se evalúa al técnico</t>
    </r>
    <r>
      <rPr>
        <sz val="10"/>
        <color theme="1"/>
        <rFont val="Arial"/>
      </rPr>
      <t xml:space="preserve"> </t>
    </r>
  </si>
  <si>
    <r>
      <rPr>
        <b/>
        <sz val="10"/>
        <color theme="1"/>
        <rFont val="Arial"/>
      </rPr>
      <t>Observaciones (</t>
    </r>
    <r>
      <rPr>
        <sz val="10"/>
        <color theme="1"/>
        <rFont val="Arial"/>
      </rPr>
      <t>detallar observaciones</t>
    </r>
    <r>
      <rPr>
        <b/>
        <sz val="10"/>
        <color theme="1"/>
        <rFont val="Arial"/>
      </rPr>
      <t>)</t>
    </r>
  </si>
  <si>
    <t>1-3N2YU675</t>
  </si>
  <si>
    <t>ANDRES EDUARDO RODRIGUEZ BERMEDO</t>
  </si>
  <si>
    <t xml:space="preserve">Juan Castellon 4081, Quinta Normal </t>
  </si>
  <si>
    <t>Victor Yañez</t>
  </si>
  <si>
    <t>https://drive.google.com/open?id=13PPlqo63EbZRR7L89FEGqMnXDfQv8n-r</t>
  </si>
  <si>
    <t>https://drive.google.com/open?id=17d52t5PmTfXPB9_QbA6OqPf9kiImuzOs</t>
  </si>
  <si>
    <t>https://drive.google.com/open?id=1lDE3Am1y1Mw5GWKg_p9mLlaSQGqGgcXE</t>
  </si>
  <si>
    <t>https://drive.google.com/open?id=1yLJtRMHB524hoNw9q5pILGEoIKZRcthN</t>
  </si>
  <si>
    <t>Falta instalar pasa muros, a realizar preguntas a cliente indica haber aclarado las dudas del funcionamiento de forma correcta.</t>
  </si>
  <si>
    <t>1-3N5H0O6V</t>
  </si>
  <si>
    <t xml:space="preserve">Rio backer 5632, Quinta Normal </t>
  </si>
  <si>
    <t>https://drive.google.com/open?id=1MKp2JuTG6FLN0ueQHwBGFuQSkTp8nAcB</t>
  </si>
  <si>
    <t>https://drive.google.com/open?id=1ECZb-tJbGDX2bKOxosQrZyrzym9KBxL2</t>
  </si>
  <si>
    <t>Sin moradores en domicilio, se evidencia al exterior que no se instala soporte drop, pasa muro instalado sin perforación adecuada</t>
  </si>
  <si>
    <t>1-3N7Q47LB</t>
  </si>
  <si>
    <t>JUAN PABLO CACERES SOBARZO</t>
  </si>
  <si>
    <t>Limonares 399</t>
  </si>
  <si>
    <t>Armando Aravena</t>
  </si>
  <si>
    <t>https://drive.google.com/open?id=1Q8vNcuhdAz4joWsuGjDNyWvbEU-wJasi</t>
  </si>
  <si>
    <t>https://drive.google.com/open?id=1wg6HKw0vboOMxwjSBYFMyCoNLjQe2glH</t>
  </si>
  <si>
    <t>https://drive.google.com/open?id=1eSKueiB7HIUFlR7czqRlTA0kS2ueqrBv</t>
  </si>
  <si>
    <t>Quinto técnico q visita a cliente realizando la instalacion</t>
  </si>
  <si>
    <t>1-3N728IGS</t>
  </si>
  <si>
    <t>MARIN ORELLANA HERNAN TOMAS</t>
  </si>
  <si>
    <t>Howard 10</t>
  </si>
  <si>
    <t>Josefina Astete</t>
  </si>
  <si>
    <t>https://drive.google.com/open?id=1VJeC8kIARVBAXRJhaBg-HWlg535qIcyR</t>
  </si>
  <si>
    <t>https://drive.google.com/open?id=19fja4M2CuNqJHfMYCUY4xkR30-WEqb0T</t>
  </si>
  <si>
    <t>https://drive.google.com/open?id=1vu-Eev9UKvXcT1YJ8o4Tt9Y-UNmKsclY</t>
  </si>
  <si>
    <t>https://drive.google.com/open?id=14TYRsLkplV2F4PgRT-NqLGyJXyvd-eYE</t>
  </si>
  <si>
    <t>Orden no se termina problema de dB , técnico sin chicote y falta de guía omologada</t>
  </si>
  <si>
    <t>1-3N3AEQ7U</t>
  </si>
  <si>
    <t>ALVARO IVAN HERRERA SALINAS</t>
  </si>
  <si>
    <t>No hay derivacion</t>
  </si>
  <si>
    <t>CATEDRAL 4245 DEPTO 1806 QUINTAN NORMAL</t>
  </si>
  <si>
    <t>Omar fuentes</t>
  </si>
  <si>
    <t>https://drive.google.com/open?id=1NGfQlyzAFNPmEvRedGZsf2pxU2BwIdRG</t>
  </si>
  <si>
    <t>https://drive.google.com/open?id=1F83yxxgfvVETwqxnxgE5y_AiZliJsXcR</t>
  </si>
  <si>
    <t>https://drive.google.com/open?id=1qYERsMZYaQUmpyStu7SKkCOMWtWdsSgj</t>
  </si>
  <si>
    <t xml:space="preserve">Se realiza mesa de trabajo informando indicadores operacional
Se verifica estado de kit fo con fusionadora encontrado cortadora de fibra en mal estado (falta tornillo)
Se informa la importancia de uso one click en terreno y el autochequeo de estado de herramientas 
Se realiza cambio de cortadora fo en buen estado
Ademas de realiza inducción en la entrega de servicios BA-IPTV a nucleo familiar 
Se realizara seguimiento en terreno para ver su evolución </t>
  </si>
  <si>
    <t>1-3N94E2SQ</t>
  </si>
  <si>
    <t xml:space="preserve">Las Brisas 0804, Recoleta </t>
  </si>
  <si>
    <t>https://drive.google.com/open?id=15KDgPCFq3sfPmtt5xX54MeAKk9jAUKVI</t>
  </si>
  <si>
    <t>https://drive.google.com/open?id=1K-xGQrbagf4oW-D6DTh5YlQTXxo403UC</t>
  </si>
  <si>
    <t>https://drive.google.com/open?id=183JRK--xQWbxG4bkT39QAKRZBROukIUS</t>
  </si>
  <si>
    <t>https://drive.google.com/open?id=1mT_0H1IUWykWAH58LpNzTr7AD2cAcUIN</t>
  </si>
  <si>
    <t>No utiliza one click, cliente conforme</t>
  </si>
  <si>
    <t>1-3N9FYITR</t>
  </si>
  <si>
    <t xml:space="preserve">Coronel de Quintana 428, Independencia </t>
  </si>
  <si>
    <t>Miguel Morales</t>
  </si>
  <si>
    <t>https://drive.google.com/open?id=12wtFt_wPMKaaRNepL8OxbL8THTvW1rpz</t>
  </si>
  <si>
    <t>https://drive.google.com/open?id=11NCk5q4BXejTZqIpnwKMwpnaeKMX6obP</t>
  </si>
  <si>
    <t>https://drive.google.com/open?id=1gY7a-UzONH12AZX1pFa3JgqUrQtTqrdB</t>
  </si>
  <si>
    <t>https://drive.google.com/open?id=1MnC4kw_8M8wT0rlU24_dE4d_Ds8izo_E</t>
  </si>
  <si>
    <t xml:space="preserve">Roseta fuera de norma a petición de cliente, cliente indica tener problemas de cobertura en un extremo de la casa, se recomienda solicitar repetidor de señal. Instalación de ont ubicada en lugar solicitado por cliente </t>
  </si>
  <si>
    <t>1-3N6CTV6X</t>
  </si>
  <si>
    <t>Las Bandurrias  14</t>
  </si>
  <si>
    <t>https://drive.google.com/open?id=1-QRkO5YpAkz38prf9Y9Bw8G2tEzPwMOB</t>
  </si>
  <si>
    <t>https://drive.google.com/open?id=1o_Awr_qJTuOGbya23lKOgpt8Qe3P_lbn</t>
  </si>
  <si>
    <t>https://drive.google.com/open?id=1_umJ2T0gHpdeAPP5rTnZeH-iCcxKr8BQ</t>
  </si>
  <si>
    <t>https://drive.google.com/open?id=1TzdMGzyYx5WTozjYRFT2uT4JAqQdxQS9</t>
  </si>
  <si>
    <t>Sin pasamuro.</t>
  </si>
  <si>
    <t>1-3N9IKPTH</t>
  </si>
  <si>
    <t>SEVILLA 1403</t>
  </si>
  <si>
    <t>PABLO AURELIO SALDAÑA SANDALLA</t>
  </si>
  <si>
    <t>https://drive.google.com/open?id=1po2Usoq_zwtjp4HX44MoKrgj60hav7UT</t>
  </si>
  <si>
    <t>https://drive.google.com/open?id=1zg-fW83tan2MPbaZRDYhDZomtXiQ6a_c</t>
  </si>
  <si>
    <t>https://drive.google.com/open?id=19H2kjEx3lwbXwq9aKGzDGUKndI7loOGq</t>
  </si>
  <si>
    <t xml:space="preserve">-TECNICO NO UTILIZA ONE CLICK EN TODOS LOS EXTREMOS (JUMPER, CTO)
-TECNICO NO CAPACITA SERVICIOS ENTREGADOS EN SU TOTALIDAD
 </t>
  </si>
  <si>
    <t>solo utiliza onde click en roseta optica no en su totalidad</t>
  </si>
  <si>
    <t>1-3NA4KLE5</t>
  </si>
  <si>
    <t xml:space="preserve">Tres de mayo 2685 edificio A dpto 204, independencia </t>
  </si>
  <si>
    <t>Aisneis Monte Leon</t>
  </si>
  <si>
    <t>https://drive.google.com/open?id=1yh0RqesENYxgJioTiLC6eCgf_izZmf_X</t>
  </si>
  <si>
    <t>https://drive.google.com/open?id=1UA9NOOfm_FUsc0sAasPLGcVIysznqYuP</t>
  </si>
  <si>
    <t>https://drive.google.com/open?id=1CN6XrDQMMT9mjrjBPVLl49l3NvnzY1BA</t>
  </si>
  <si>
    <t>https://drive.google.com/open?id=1IxhwifcGKSW_i_kYEj89Mmqxd2QowsBE</t>
  </si>
  <si>
    <t>Auditoria en acompañamiento destacando el uso de herramientas según procedimiento ambos one click</t>
  </si>
  <si>
    <t>1-3ND1S289</t>
  </si>
  <si>
    <t>VICTOR HUGO HUAMANI</t>
  </si>
  <si>
    <t xml:space="preserve">Recabarren 1584, Independencia </t>
  </si>
  <si>
    <t>Guillermo Puebla</t>
  </si>
  <si>
    <t>https://drive.google.com/open?id=1FK9Fm-hJrywhyAtb6KX6xUgQ95_L8DCb</t>
  </si>
  <si>
    <t>https://drive.google.com/open?id=1c7K51__DBi4S5c0_jXLS82vJyErpdcEl</t>
  </si>
  <si>
    <t>https://drive.google.com/open?id=175wmetPS8lkwNiPqFoJHg0ClHU-Xlywv</t>
  </si>
  <si>
    <t>https://drive.google.com/open?id=1ib28GsSsZ6_D2UPnN34V44_vE4lMsjT1</t>
  </si>
  <si>
    <t xml:space="preserve">Servicio instalado, solo se instala repetidor, si explica el funcionamiento del servicio </t>
  </si>
  <si>
    <t>1-3NA7AZB4</t>
  </si>
  <si>
    <t>ZINC 531</t>
  </si>
  <si>
    <t>EMILCE DEL CARMEN PEREZ PEREZ</t>
  </si>
  <si>
    <t>https://drive.google.com/open?id=16MzYbpU1T2i6yGDx9YltGMm5BWUqBy8I</t>
  </si>
  <si>
    <t>https://drive.google.com/open?id=1pn2uyjHZOjP3PxgwzAGWRciKrmPfAeUp</t>
  </si>
  <si>
    <t>https://drive.google.com/open?id=1eQH55jHKTpEu_X7G0R-3gu5NlgYfY15z</t>
  </si>
  <si>
    <t>https://drive.google.com/open?id=1xs2ayM4xI8WCoz54-Cy2bCmBOVwH4tJE</t>
  </si>
  <si>
    <t>DEBILIDADES-TECNICO NO  CUMPLE CON NORMAS DE INSTALACION-NO INSTALA SOPORTE DROP.-NO INSTALA PASAMUROS.-SOLO CAPACITA EN FORMA PARCIAL PRODUCTOS INSTALADOS-NO MUESTRA TEST DE VELOCIDAD Y REALIZA PRUEBAS DE COBERTURA WIFI-TECNICO NFORMA A QUIEN CAPACITA EN DOMICILIO EN TOA-TECNICO SALE 4 VECES DE DOMICILIO DE CLIENTE A BUSCAR MATERIALES O  EQUIPOS 
NOTA: SE CITA A MESA DE TRABAJO PARA REFLEXIONAR EN APLICAR MEJORAS PARA SER APLICADAS EN TERRENO</t>
  </si>
  <si>
    <t>-</t>
  </si>
  <si>
    <t>1-3NEATX1M</t>
  </si>
  <si>
    <t>Aviador bleriot 2561, Quinta Normal</t>
  </si>
  <si>
    <t>Alfonso Covarrubias</t>
  </si>
  <si>
    <t>https://drive.google.com/open?id=1Y8Cfh87znZW3suakDsP6fLxmlQ9Phsz-</t>
  </si>
  <si>
    <t>https://drive.google.com/open?id=1uWNsEPoQ08EeVH9plTgpasLN8u23Qn5D</t>
  </si>
  <si>
    <t>https://drive.google.com/open?id=18AfFhcfGEXSZpB-3buXrF1NwAMcyDqaB</t>
  </si>
  <si>
    <t xml:space="preserve">No corta pestaña y no deja tolerancia en roseta, instalación al interior por ductos, no se requiere pasa muros </t>
  </si>
  <si>
    <t>1-3NDSEUY5</t>
  </si>
  <si>
    <t xml:space="preserve">Pasaje 16 norte 809, Independencia </t>
  </si>
  <si>
    <t>Miriam Antognoni cervantes</t>
  </si>
  <si>
    <t>https://drive.google.com/open?id=1qAx-W3NPyL2fXx2ueK9w5kZj5_2GVa1W</t>
  </si>
  <si>
    <t>https://drive.google.com/open?id=1Ys6nt4mKfVNhwTJ1l5mGZmPtCDTs2wiD</t>
  </si>
  <si>
    <t>https://drive.google.com/open?id=1_rR7gN5y9InaQxMnPBe41qRYzIVGu2lO</t>
  </si>
  <si>
    <t xml:space="preserve">Repetidor, a petición de cliente no se instala cable utp por estética servicio okey, no instala pasa muros al interior </t>
  </si>
  <si>
    <t>1-3NDWKZA0</t>
  </si>
  <si>
    <t>HECTOR SANTIS MEZA</t>
  </si>
  <si>
    <t xml:space="preserve">Emilio campodonico 6342, Quinta Normal </t>
  </si>
  <si>
    <t>Cecilia Marquez</t>
  </si>
  <si>
    <t>https://drive.google.com/open?id=1PFip0B7ufHKKeHnUeTAxyWSdWMcEPu7-</t>
  </si>
  <si>
    <t>https://drive.google.com/open?id=1VREyEW1L4QF6a_uVmfAOAewpVhgupzXp</t>
  </si>
  <si>
    <t>https://drive.google.com/open?id=1TETN7AcbomP8by1FR1jjvR6VlAhtKclC</t>
  </si>
  <si>
    <t>https://drive.google.com/open?id=1m-eN6jCH8z1x3lEFlvmJ5RNYEoGDthmr</t>
  </si>
  <si>
    <t xml:space="preserve">No retira pestaña en roseta, no gestiona repetidor de señal para aumentar producción </t>
  </si>
  <si>
    <t>1-3NHP2Q99</t>
  </si>
  <si>
    <t>Alberdi 01549</t>
  </si>
  <si>
    <t>Nicolas Nilo Jara</t>
  </si>
  <si>
    <t>https://drive.google.com/open?id=1Srw9ivWGChc4dxUZ3qKDvzJAoXfnwUL0</t>
  </si>
  <si>
    <t>https://drive.google.com/open?id=1lggRjpO-1vj3C15DfSKMfH4QeuUpD_tr</t>
  </si>
  <si>
    <t>https://drive.google.com/open?id=1Mevy94ij7-lC7sh8oT3i78qZD05q6nQB</t>
  </si>
  <si>
    <t>https://drive.google.com/open?id=1jHJg4Ti1HFMCdoVtovSQT6DcEg0-a5gp</t>
  </si>
  <si>
    <t>Realiza instalación bajo los protocolos, uso de herramientas ambos one click correcto, retiro de pestaña en roseta okey</t>
  </si>
  <si>
    <t>1-3NJBWJB3</t>
  </si>
  <si>
    <t xml:space="preserve">General Prieto 1305, edif B dpto 1601, Independencia </t>
  </si>
  <si>
    <t>https://drive.google.com/open?id=1x9PfM7oe68fI1GDoXZmw6oPmH0KIs1iA</t>
  </si>
  <si>
    <t>https://drive.google.com/open?id=1GuCx2Pc9bbIwqE8A8sCI7z2S0TmXENSx</t>
  </si>
  <si>
    <t>https://drive.google.com/open?id=1IeLpHza4qeddPc7YQ_ReX0Lwwm3ry54W</t>
  </si>
  <si>
    <t>https://drive.google.com/open?id=1JvAgn13_aoCqozmenMDl3quKGXMoExO_</t>
  </si>
  <si>
    <t>No retira pestaña en roseta, no utiliza one click</t>
  </si>
  <si>
    <t>1-3NL4LLZO</t>
  </si>
  <si>
    <t>JONATHAN DIAZ CALDERON</t>
  </si>
  <si>
    <t xml:space="preserve">Lircay 0370, Recoleta </t>
  </si>
  <si>
    <t>Camila Ordenes</t>
  </si>
  <si>
    <t>https://drive.google.com/open?id=1tEudZOft8xZpMDsQSQPQeCTefP2_pegg</t>
  </si>
  <si>
    <t>https://drive.google.com/open?id=10Xlmjj0mBNKoHxU001e7vmmevZMvK43s</t>
  </si>
  <si>
    <t>https://drive.google.com/open?id=1p2tAKq4wDWPhOmNrxcjgQkRnRmLP6JL9</t>
  </si>
  <si>
    <t>https://drive.google.com/open?id=142ZUGj9G7YSmqQj_PBMrNlHaoMghoHPH</t>
  </si>
  <si>
    <t xml:space="preserve">No utiliza one click </t>
  </si>
  <si>
    <t>1-3NLYBW1U</t>
  </si>
  <si>
    <t>Membrillar 5728, Quinta Normal</t>
  </si>
  <si>
    <t>https://drive.google.com/open?id=1r0QOTrD_EHj73uRDoPT5l74DoIWcc3wT</t>
  </si>
  <si>
    <t>https://drive.google.com/open?id=14MxsC3C0f207VMLAOa5bWYleWv216rnN</t>
  </si>
  <si>
    <t>https://drive.google.com/open?id=1flZwOSfHLNBkFuA2mrKyCbnSD5a4EfU0</t>
  </si>
  <si>
    <t>https://drive.google.com/open?id=1Hg3v8SkyQN2WJQTNtfEU-LeIj27gEi1X</t>
  </si>
  <si>
    <t>A petición de cliente se instala roseta fuera de norma</t>
  </si>
  <si>
    <t>1-3NN9AV8Q</t>
  </si>
  <si>
    <t xml:space="preserve">Pablo Urzua 1559, Independencia </t>
  </si>
  <si>
    <t xml:space="preserve">Wilman Hernandez </t>
  </si>
  <si>
    <t>https://drive.google.com/open?id=12oZ5C6nPLv6t7TKKaCG0GUD4Ii-9w7z0</t>
  </si>
  <si>
    <t>https://drive.google.com/open?id=1FMERhxTFgD1yrm9IjxJ7kFwgXiUbnAg_</t>
  </si>
  <si>
    <t>https://drive.google.com/open?id=1qQa-IfAV_dLOsGZNC17MNWWzKIc7SkUQ</t>
  </si>
  <si>
    <t>https://drive.google.com/open?id=1VBmcxDYN7guoxYGYj5s7TrynjAfkJBDw</t>
  </si>
  <si>
    <t>A petición de cliente roseta se instala fuera de norma, si cumple con el corte en pestaña de roseta</t>
  </si>
  <si>
    <t>1-3NNJY7KN</t>
  </si>
  <si>
    <t xml:space="preserve">Nueva Extremadura 5372, Quinta Normal </t>
  </si>
  <si>
    <t>Carlos Flores</t>
  </si>
  <si>
    <t>https://drive.google.com/open?id=1k7NrqxzILvpaTm4qWKGA0--kvvfmIIPD</t>
  </si>
  <si>
    <t>https://drive.google.com/open?id=1KEgvIgqv-ptL598vs8XqqQyy3OhdPw6S</t>
  </si>
  <si>
    <t>https://drive.google.com/open?id=18eY7uINq6UqqU6StJ9GOuPT_sbq1-Zdo</t>
  </si>
  <si>
    <t>https://drive.google.com/open?id=15WtN5v6Aw0eRGykvQp2rGSm_0U6UaInr</t>
  </si>
  <si>
    <t>No retira pestaña en roseta, utiliza herramientas de ambos one click</t>
  </si>
  <si>
    <t>1-3ND4KOAK</t>
  </si>
  <si>
    <t>Pasaje C 68</t>
  </si>
  <si>
    <t>Daniela Segovia</t>
  </si>
  <si>
    <t>https://drive.google.com/open?id=1ZHmYxeoFOC5phCiVio592U7rhVZ0tYXy</t>
  </si>
  <si>
    <t>https://drive.google.com/open?id=1egI1lxqhCpkbi4T4tixnLNGbMi8mvw1h</t>
  </si>
  <si>
    <t>https://drive.google.com/open?id=15AlcG5YugrRMwnS_TVvHf372kGJ9nrqg</t>
  </si>
  <si>
    <t>https://drive.google.com/open?id=1KDROq1VK7guj15eYPcVTBxTS5UbN_JpJ</t>
  </si>
  <si>
    <t>Técnico cumple con las normas.</t>
  </si>
  <si>
    <t>1-3NFDRCY3</t>
  </si>
  <si>
    <t>Cotacotani 34</t>
  </si>
  <si>
    <t>Erick Arrue</t>
  </si>
  <si>
    <t>https://drive.google.com/open?id=1_dnXHFhbI_rHIPquJovLBhU46yIrAZ3n</t>
  </si>
  <si>
    <t>https://drive.google.com/open?id=1mNdABhyD-BWi_0xnmvqaCeLnpVpDiURR</t>
  </si>
  <si>
    <t>https://drive.google.com/open?id=1Vk1aFMxBIdlXyYBKm1PRsmfCVwtQMPsV</t>
  </si>
  <si>
    <t>https://drive.google.com/open?id=1JyPmA8uNhOVvTRycpVmimBTyYoXMHg0y</t>
  </si>
  <si>
    <t>Técnico cumple con las normas</t>
  </si>
  <si>
    <t>1-3NEG6VRC</t>
  </si>
  <si>
    <t>Las Maravillas 315</t>
  </si>
  <si>
    <t>Katherine Rodriguez</t>
  </si>
  <si>
    <t>https://drive.google.com/open?id=1pc_PLk8xNWHcoYORgNdryoio50_OJRe6</t>
  </si>
  <si>
    <t>https://drive.google.com/open?id=1wsYwrN88WDFb7NWHf8osRL8GnpzbB1e_</t>
  </si>
  <si>
    <t>https://drive.google.com/open?id=16tLU2tsRGSZYpel88kvrTizbREZsrQ7x</t>
  </si>
  <si>
    <t>Reparación reset de equipos , pruebas de cobertura test de velocidad</t>
  </si>
  <si>
    <t>1-3NG18R4J</t>
  </si>
  <si>
    <t>Carlos Pezoa Véliz 160</t>
  </si>
  <si>
    <t>Susana Salinas</t>
  </si>
  <si>
    <t>2, 4</t>
  </si>
  <si>
    <t>https://drive.google.com/open?id=1cD1N6AEKr1vU2RtVlCAUekMeFW0jONZc</t>
  </si>
  <si>
    <t>https://drive.google.com/open?id=1LdvtDzcg_Id4QqvHWSPg28VYwtyzhbnq</t>
  </si>
  <si>
    <t>https://drive.google.com/open?id=1OeTk1d8S6gK4Pi9SvrmwXAB_UlGSOg3H</t>
  </si>
  <si>
    <t>Reparación , se cambia conector cortado en roseta.</t>
  </si>
  <si>
    <t>1-3NJAI727</t>
  </si>
  <si>
    <t>GUERRERO LEIVA ELADIO ANDRES</t>
  </si>
  <si>
    <t>Pasaje E 32</t>
  </si>
  <si>
    <t>Jorge Caamaño</t>
  </si>
  <si>
    <t>https://drive.google.com/open?id=1KCRYVed39OkGvsCk0Um8ai5Fp51O9jAO</t>
  </si>
  <si>
    <t>https://drive.google.com/open?id=1qfFagTsqYMPvdSUFin5YtdOKQ0tlmQiT</t>
  </si>
  <si>
    <t>https://drive.google.com/open?id=1isoAII7ef9vNpSjclPMVQR5qOtG59WxP</t>
  </si>
  <si>
    <t>Reparación drop levantado en CTO.</t>
  </si>
  <si>
    <t>1-3NNEKWHY</t>
  </si>
  <si>
    <t>HECTOR DAVID REYES OLMOS</t>
  </si>
  <si>
    <t>Parinacota 50 depto 21</t>
  </si>
  <si>
    <t>Mama de titular</t>
  </si>
  <si>
    <t>https://drive.google.com/open?id=14SFHycDeSjKPiGhW0C0rxgm3MRz-nqXT</t>
  </si>
  <si>
    <t>https://drive.google.com/open?id=1knpkTpAujRFTgyyCdsXBosb0UgOFoN2E</t>
  </si>
  <si>
    <t>https://drive.google.com/open?id=1wFF803e-lPpln5LWOzqcWBALjxkJ23cK</t>
  </si>
  <si>
    <t>https://drive.google.com/open?id=1MwSEkrsBBQvBBAIH6sUjmiE0-F2pEfCp</t>
  </si>
  <si>
    <t>Instalación , técnico reutiliza drop a petición de cliente el dormitorio lo había forrado palmetas de pluma voy con diseños.</t>
  </si>
  <si>
    <t xml:space="preserve">1-3N7Q47LB </t>
  </si>
  <si>
    <t>Los Limonares 399 casa 19</t>
  </si>
  <si>
    <t>https://drive.google.com/open?id=1ifMagLDjS7-z44QC25L9EwxBgIJHujRK</t>
  </si>
  <si>
    <t>https://drive.google.com/open?id=15udke8hsV9VTpZEmGDtbrUO7CrcGQMlP</t>
  </si>
  <si>
    <t>https://drive.google.com/open?id=1vmgil_WaQ0xuPdmdkg1EXsUweEWPvmfe</t>
  </si>
  <si>
    <t>https://drive.google.com/open?id=17dCwfUXA9AI7eeNFUBE4rabzbj9TBekH</t>
  </si>
  <si>
    <t>Instalación por cámaras.</t>
  </si>
  <si>
    <t>1-3NOYLK2D</t>
  </si>
  <si>
    <t>XAVIER NATERA MARTINEZ</t>
  </si>
  <si>
    <t xml:space="preserve">Los suspiros 2864, Quinta Normal </t>
  </si>
  <si>
    <t>https://drive.google.com/open?id=14swrKT8z_gymQwhT5IhdH-mVs0pplGko</t>
  </si>
  <si>
    <t>https://drive.google.com/open?id=1ANguWjjWSjseyLds8byVP6N9nzOT39tx</t>
  </si>
  <si>
    <t>https://drive.google.com/open?id=1wKQpc_z6296Zpf7qLkmrb96dsJw9h1ez</t>
  </si>
  <si>
    <t>https://drive.google.com/open?id=1-1rwkehkMlzlYTR3c3C47jf_-71kQDOU</t>
  </si>
  <si>
    <t>1-3NOTROJ0</t>
  </si>
  <si>
    <t>Av Cardenal Jose Maria Caro 3368, Independencia</t>
  </si>
  <si>
    <t>Freddy Flores</t>
  </si>
  <si>
    <t>https://drive.google.com/open?id=1fr8kqb0qYgoW1kJvGmuYSGKXphKqkO4S</t>
  </si>
  <si>
    <t>https://drive.google.com/open?id=1GrHh-fNVvY4NmvaaOiftMkxS_2xxmyxP</t>
  </si>
  <si>
    <t>https://drive.google.com/open?id=1Wskr8uc0GZARG5xMSg7mC1mqiEcPBwIx</t>
  </si>
  <si>
    <t>https://drive.google.com/open?id=1qFeraJ0W0wL6xeEvbWqkxvRVd6vkiZLO</t>
  </si>
  <si>
    <t>Solo falta utilizar ambos one click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</si>
</sst>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m/d/yyyy\ h:mm:ss"/>
    <numFmt numFmtId="165" formatCode="0&quot; / 26&quot;"/>
    <numFmt numFmtId="166" formatCode="0&quot; / 31&quot;"/>
  </numFmts>
  <fonts count="10" x14ac:knownFonts="1">
    <font>
      <sz val="10"/>
      <color rgb="FF000000"/>
      <name val="Arial"/>
      <scheme val="minor"/>
    </font>
    <font>
      <sz val="10"/>
      <color theme="1"/>
      <name val="Arial"/>
      <scheme val="minor"/>
    </font>
    <font>
      <u/>
      <sz val="10"/>
      <color rgb="FF0000FF"/>
      <name val="Roboto"/>
    </font>
    <font>
      <sz val="10"/>
      <color theme="0"/>
      <name val="Arial"/>
      <family val="2"/>
      <scheme val="minor"/>
    </font>
    <font>
      <sz val="11"/>
      <color rgb="FF006100"/>
      <name val="Arial"/>
      <family val="2"/>
      <scheme val="minor"/>
    </font>
    <font>
      <sz val="8"/>
      <name val="Arial"/>
      <scheme val="minor"/>
    </font>
    <font>
      <b/>
      <sz val="10"/>
      <color theme="1"/>
      <name val="Arial"/>
      <scheme val="minor"/>
    </font>
    <font>
      <b/>
      <sz val="10"/>
      <color theme="1"/>
      <name val="Arial"/>
    </font>
    <font>
      <i/>
      <sz val="10"/>
      <color theme="1"/>
      <name val="Arial"/>
    </font>
    <font>
      <sz val="10"/>
      <color theme="1"/>
      <name val="Arial"/>
    </font>
  </fonts>
  <fills count="6">
    <fill>
      <patternFill patternType="none"/>
    </fill>
    <fill>
      <patternFill patternType="gray125"/>
    </fill>
    <fill>
      <patternFill patternType="solid">
        <fgColor rgb="FF5B3F86"/>
        <bgColor rgb="FF5B3F86"/>
      </patternFill>
    </fill>
    <fill>
      <patternFill patternType="solid">
        <fgColor rgb="FFFFFFFF"/>
        <bgColor rgb="FFFFFFFF"/>
      </patternFill>
    </fill>
    <fill>
      <patternFill patternType="solid">
        <fgColor rgb="FFF8F9FA"/>
        <bgColor rgb="FFF8F9FA"/>
      </patternFill>
    </fill>
    <fill>
      <patternFill patternType="solid">
        <fgColor rgb="FFC6EFCE"/>
      </patternFill>
    </fill>
  </fills>
  <borders count="2">
    <border>
      <left/>
      <right/>
      <top/>
      <bottom/>
      <diagonal/>
    </border>
    <border>
      <left/>
      <right/>
      <top style="thin">
        <color rgb="FF5B3F86"/>
      </top>
      <bottom/>
      <diagonal/>
    </border>
  </borders>
  <cellStyleXfs count="2">
    <xf numFmtId="0" fontId="0" fillId="0" borderId="0"/>
    <xf numFmtId="0" fontId="4" fillId="5" borderId="0" applyNumberFormat="0" applyBorder="0" applyAlignment="0" applyProtection="0"/>
  </cellStyleXfs>
  <cellXfs count="17">
    <xf numFmtId="0" fontId="0" fillId="0" borderId="0" xfId="0"/>
    <xf numFmtId="164" fontId="1" fillId="0" borderId="0" xfId="0" applyNumberFormat="1" applyFont="1" applyAlignment="1">
      <alignment vertical="center"/>
    </xf>
    <xf numFmtId="165" fontId="1" fillId="0" borderId="0" xfId="0" applyNumberFormat="1" applyFont="1" applyAlignment="1">
      <alignment vertical="center"/>
    </xf>
    <xf numFmtId="0" fontId="1" fillId="0" borderId="0" xfId="0" applyFont="1" applyAlignment="1">
      <alignment vertical="center"/>
    </xf>
    <xf numFmtId="0" fontId="2" fillId="0" borderId="0" xfId="0" applyFont="1" applyAlignment="1">
      <alignment vertical="center"/>
    </xf>
    <xf numFmtId="0" fontId="3" fillId="0" borderId="0" xfId="0" applyFont="1"/>
    <xf numFmtId="0" fontId="1" fillId="3" borderId="0" xfId="0" applyFont="1" applyFill="1" applyAlignment="1">
      <alignment vertical="center"/>
    </xf>
    <xf numFmtId="0" fontId="0" fillId="0" borderId="0" xfId="0" applyAlignment="1">
      <alignment horizontal="center"/>
    </xf>
    <xf numFmtId="0" fontId="1" fillId="4" borderId="0" xfId="0" applyFont="1" applyFill="1" applyAlignment="1">
      <alignment vertical="center"/>
    </xf>
    <xf numFmtId="0" fontId="3" fillId="2" borderId="1" xfId="0" applyFont="1" applyFill="1" applyBorder="1" applyAlignment="1">
      <alignment horizontal="center"/>
    </xf>
    <xf numFmtId="166" fontId="1" fillId="0" borderId="0" xfId="0" applyNumberFormat="1" applyFont="1" applyAlignment="1">
      <alignment vertical="center"/>
    </xf>
    <xf numFmtId="0" fontId="4" fillId="5" borderId="0" xfId="1" applyAlignment="1">
      <alignment horizontal="center"/>
    </xf>
    <xf numFmtId="0" fontId="4" fillId="5" borderId="0" xfId="1"/>
    <xf numFmtId="0" fontId="1" fillId="0" borderId="0" xfId="0" applyFont="1" applyAlignment="1">
      <alignment horizontal="left" vertical="center"/>
    </xf>
    <xf numFmtId="0" fontId="6" fillId="0" borderId="0" xfId="0" applyFont="1" applyAlignment="1">
      <alignment horizontal="left" vertical="center"/>
    </xf>
    <xf numFmtId="0" fontId="4" fillId="5" borderId="0" xfId="1" applyNumberFormat="1" applyAlignment="1">
      <alignment horizontal="center"/>
    </xf>
    <xf numFmtId="0" fontId="1" fillId="0" borderId="0" xfId="0" quotePrefix="1" applyFont="1" applyAlignment="1">
      <alignment vertical="center"/>
    </xf>
  </cellXfs>
  <cellStyles count="2">
    <cellStyle name="Bueno" xfId="1" builtinId="26"/>
    <cellStyle name="Normal" xfId="0" builtinId="0"/>
  </cellStyles>
  <dxfs count="39">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ertAlign val="baseline"/>
        <sz val="10"/>
        <color rgb="FF0000FF"/>
        <name val="Roboto"/>
        <scheme val="none"/>
      </font>
      <alignment horizontal="general" vertical="center" textRotation="0" wrapText="0" indent="0" justifyLastLine="0" shrinkToFit="0" readingOrder="0"/>
    </dxf>
    <dxf>
      <font>
        <b val="0"/>
        <i val="0"/>
        <strike val="0"/>
        <condense val="0"/>
        <extend val="0"/>
        <outline val="0"/>
        <shadow val="0"/>
        <u/>
        <vertAlign val="baseline"/>
        <sz val="10"/>
        <color rgb="FF0000FF"/>
        <name val="Roboto"/>
        <scheme val="none"/>
      </font>
      <alignment horizontal="general" vertical="center" textRotation="0" wrapText="0" indent="0" justifyLastLine="0" shrinkToFit="0" readingOrder="0"/>
    </dxf>
    <dxf>
      <font>
        <b val="0"/>
        <i val="0"/>
        <strike val="0"/>
        <condense val="0"/>
        <extend val="0"/>
        <outline val="0"/>
        <shadow val="0"/>
        <u/>
        <vertAlign val="baseline"/>
        <sz val="10"/>
        <color rgb="FF0000FF"/>
        <name val="Roboto"/>
        <scheme val="none"/>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166" formatCode="0&quot; / 31&quo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164" formatCode="m/d/yyyy\ h:mm:ss"/>
      <alignment horizontal="general" vertical="center" textRotation="0" wrapText="0" indent="0" justifyLastLine="0" shrinkToFit="0" readingOrder="0"/>
    </dxf>
    <dxf>
      <numFmt numFmtId="0" formatCode="General"/>
      <alignment horizontal="center" vertical="bottom"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ertAlign val="baseline"/>
        <sz val="10"/>
        <color rgb="FF0000FF"/>
        <name val="Roboto"/>
        <scheme val="none"/>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strike val="0"/>
        <outline val="0"/>
        <shadow val="0"/>
        <u val="none"/>
        <vertAlign val="baseline"/>
        <sz val="10"/>
        <color theme="0"/>
        <name val="Arial"/>
      </font>
    </dxf>
    <dxf>
      <fill>
        <patternFill patternType="solid">
          <fgColor rgb="FFF8F9FA"/>
          <bgColor rgb="FFF8F9FA"/>
        </patternFill>
      </fill>
    </dxf>
    <dxf>
      <fill>
        <patternFill patternType="solid">
          <fgColor rgb="FFFFFFFF"/>
          <bgColor rgb="FFFFFFFF"/>
        </patternFill>
      </fill>
    </dxf>
    <dxf>
      <fill>
        <patternFill patternType="solid">
          <fgColor rgb="FF5B3F86"/>
          <bgColor rgb="FF5B3F86"/>
        </patternFill>
      </fill>
    </dxf>
    <dxf>
      <border>
        <left style="thin">
          <color rgb="FF5B3F86"/>
        </left>
        <right style="thin">
          <color rgb="FF5B3F86"/>
        </right>
        <top style="thin">
          <color rgb="FF5B3F86"/>
        </top>
        <bottom style="thin">
          <color rgb="FF5B3F86"/>
        </bottom>
      </border>
    </dxf>
  </dxfs>
  <tableStyles count="1">
    <tableStyle name="Respuestas de formulario 1-style" pivot="0" count="4" xr9:uid="{00000000-0011-0000-FFFF-FFFF00000000}">
      <tableStyleElement type="wholeTable" size="0" dxfId="38"/>
      <tableStyleElement type="headerRow" dxfId="37"/>
      <tableStyleElement type="firstRowStripe" dxfId="36"/>
      <tableStyleElement type="secondRowStripe" dxfId="35"/>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Form_Responses" displayName="Form_Responses" ref="A1:AJ42" headerRowDxfId="34">
  <autoFilter ref="A1:AJ42" xr:uid="{00000000-000C-0000-FFFF-FFFF00000000}"/>
  <tableColumns count="36">
    <tableColumn id="1" xr3:uid="{00000000-0010-0000-0000-000001000000}" name="Marca temporal" dataDxfId="24"/>
    <tableColumn id="2" xr3:uid="{00000000-0010-0000-0000-000002000000}" name="Puntuación" dataDxfId="23"/>
    <tableColumn id="3" xr3:uid="{00000000-0010-0000-0000-000003000000}" name="N° PETICIÓN " dataDxfId="22"/>
    <tableColumn id="4" xr3:uid="{00000000-0010-0000-0000-000004000000}" name="Nombre Técnico" dataDxfId="21"/>
    <tableColumn id="5" xr3:uid="{00000000-0010-0000-0000-000005000000}" name="SUPERVISOR" dataDxfId="20"/>
    <tableColumn id="6" xr3:uid="{00000000-0010-0000-0000-000006000000}" name="Se ejecuto la actividad" dataDxfId="19"/>
    <tableColumn id="7" xr3:uid="{00000000-0010-0000-0000-000007000000}" name="Se concreta auditoria?" dataDxfId="18"/>
    <tableColumn id="8" xr3:uid="{00000000-0010-0000-0000-000008000000}" name="Motivo de la derivación" dataDxfId="33"/>
    <tableColumn id="9" xr3:uid="{00000000-0010-0000-0000-000009000000}" name="Auditoria" dataDxfId="17"/>
    <tableColumn id="10" xr3:uid="{00000000-0010-0000-0000-00000A000000}" name="Actividad" dataDxfId="16"/>
    <tableColumn id="11" xr3:uid="{00000000-0010-0000-0000-00000B000000}" name="Instala drop con soportes" dataDxfId="32"/>
    <tableColumn id="12" xr3:uid="{00000000-0010-0000-0000-00000C000000}" name="DIRECCIÓN (Calle - Numero) " dataDxfId="15"/>
    <tableColumn id="13" xr3:uid="{00000000-0010-0000-0000-00000D000000}" name="Instala Pasa-muros " dataDxfId="31"/>
    <tableColumn id="14" xr3:uid="{00000000-0010-0000-0000-00000E000000}" name="Roseta Óptica en norma y atornillada " dataDxfId="14"/>
    <tableColumn id="15" xr3:uid="{00000000-0010-0000-0000-00000F000000}" name="Repetidor Cableado" dataDxfId="30"/>
    <tableColumn id="16" xr3:uid="{00000000-0010-0000-0000-000010000000}" name="Cantidad Decodificadores" dataDxfId="29"/>
    <tableColumn id="17" xr3:uid="{00000000-0010-0000-0000-000011000000}" name="Capacitación  al Cliente" dataDxfId="13"/>
    <tableColumn id="18" xr3:uid="{00000000-0010-0000-0000-000012000000}" name="Deja Área de Trabajo Limpio " dataDxfId="12"/>
    <tableColumn id="19" xr3:uid="{00000000-0010-0000-0000-000013000000}" name="Quien recibe en domicilio" dataDxfId="11"/>
    <tableColumn id="20" xr3:uid="{00000000-0010-0000-0000-000014000000}" name="Nota de Estética del cableado " dataDxfId="10"/>
    <tableColumn id="21" xr3:uid="{00000000-0010-0000-0000-000015000000}" name="Fotografía  Módem" dataDxfId="9"/>
    <tableColumn id="22" xr3:uid="{00000000-0010-0000-0000-000016000000}" name="Fotografía Roseta  Óptica Atornillada " dataDxfId="8"/>
    <tableColumn id="23" xr3:uid="{00000000-0010-0000-0000-000017000000}" name="Fotografías Pasa-muros " dataDxfId="28"/>
    <tableColumn id="24" xr3:uid="{00000000-0010-0000-0000-000018000000}" name="Fotografías" dataDxfId="7"/>
    <tableColumn id="25" xr3:uid="{00000000-0010-0000-0000-000019000000}" name="Estado Auditoria " dataDxfId="6"/>
    <tableColumn id="26" xr3:uid="{00000000-0010-0000-0000-00001A000000}" name="Técnico cumple correctamente con su función?  " dataDxfId="5"/>
    <tableColumn id="27" xr3:uid="{00000000-0010-0000-0000-00001B000000}" name="Con que nota se evalúa al técnico " dataDxfId="4"/>
    <tableColumn id="28" xr3:uid="{00000000-0010-0000-0000-00001C000000}" name="Observaciones (detallar observaciones)" dataDxfId="3"/>
    <tableColumn id="33" xr3:uid="{6654FF87-3155-4898-9A65-816C7D124028}" name="Utiliza OneClick para realizar limpieza a conectores " dataDxfId="2"/>
    <tableColumn id="36" xr3:uid="{2662FBBF-EEE5-4E82-98C0-8584BF84424E}" name="Drop se encuentra encuentra dentro de norma de instalaciones " dataDxfId="1"/>
    <tableColumn id="35" xr3:uid="{CF2913D1-167E-463D-9DEB-ADD1D59E4B8D}" name="Reutiliza Instalación " dataDxfId="27"/>
    <tableColumn id="34" xr3:uid="{1C1000A3-E2F8-4E7C-A510-442774329E98}" name="Utiliza Alcohol isopropilico " dataDxfId="0"/>
    <tableColumn id="32" xr3:uid="{54579B12-B98C-417C-A72D-BAB0E503080E}" name="Reutiliza Instalación de otra compañía " dataDxfId="26"/>
    <tableColumn id="29" xr3:uid="{B3B22204-0EB9-42F6-9D1A-876CFB34A91A}" name="Se llevó a cabo la mesa de trabajo." dataDxfId="25" dataCellStyle="Bueno">
      <calculatedColumnFormula>IFERROR(VLOOKUP(Form_Responses[[#This Row],[Nombre Técnico]],'masa de trabajo'!$B:$C,2,0),"")</calculatedColumnFormula>
    </tableColumn>
    <tableColumn id="30" xr3:uid="{D5B9DC4A-17D5-4220-A758-C20FA12AC150}" name="Se cerró el proceso con el técnico?" dataCellStyle="Bueno">
      <calculatedColumnFormula>VLOOKUP(Form_Responses[[#This Row],[Nombre Técnico]],'masa de trabajo'!$B:$E,3,0)</calculatedColumnFormula>
    </tableColumn>
    <tableColumn id="31" xr3:uid="{6A4280CD-66D9-45AA-9502-7B76CE3469BE}" name="Observaciones " dataCellStyle="Bueno">
      <calculatedColumnFormula>VLOOKUP(Form_Responses[[#This Row],[Nombre Técnico]],'masa de trabajo'!$B:$E,4,0)</calculatedColumnFormula>
    </tableColumn>
  </tableColumns>
  <tableStyleInfo name="Respuestas de formulario 1-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drive.google.com/open?id=1KDROq1VK7guj15eYPcVTBxTS5UbN_JpJ" TargetMode="External"/><Relationship Id="rId21" Type="http://schemas.openxmlformats.org/officeDocument/2006/relationships/hyperlink" Target="https://drive.google.com/open?id=1qvV5AHtlp5_I4SZ6Ec-EBbt55zMespJ8" TargetMode="External"/><Relationship Id="rId42" Type="http://schemas.openxmlformats.org/officeDocument/2006/relationships/hyperlink" Target="https://drive.google.com/open?id=1ECZb-tJbGDX2bKOxosQrZyrzym9KBxL2" TargetMode="External"/><Relationship Id="rId63" Type="http://schemas.openxmlformats.org/officeDocument/2006/relationships/hyperlink" Target="https://drive.google.com/open?id=1_umJ2T0gHpdeAPP5rTnZeH-iCcxKr8BQ" TargetMode="External"/><Relationship Id="rId84" Type="http://schemas.openxmlformats.org/officeDocument/2006/relationships/hyperlink" Target="https://drive.google.com/open?id=1Ys6nt4mKfVNhwTJ1l5mGZmPtCDTs2wiD" TargetMode="External"/><Relationship Id="rId138" Type="http://schemas.openxmlformats.org/officeDocument/2006/relationships/hyperlink" Target="https://drive.google.com/open?id=17dCwfUXA9AI7eeNFUBE4rabzbj9TBekH" TargetMode="External"/><Relationship Id="rId107" Type="http://schemas.openxmlformats.org/officeDocument/2006/relationships/hyperlink" Target="https://drive.google.com/open?id=1FMERhxTFgD1yrm9IjxJ7kFwgXiUbnAg_" TargetMode="External"/><Relationship Id="rId11" Type="http://schemas.openxmlformats.org/officeDocument/2006/relationships/hyperlink" Target="https://drive.google.com/open?id=1xRoqVLV7TnRBkCtOSTEgYjJzWnnxmSh9" TargetMode="External"/><Relationship Id="rId32" Type="http://schemas.openxmlformats.org/officeDocument/2006/relationships/hyperlink" Target="https://drive.google.com/open?id=1I5m3DHoB2XXOa5jOrNIsndX1rQFjkuR3" TargetMode="External"/><Relationship Id="rId53" Type="http://schemas.openxmlformats.org/officeDocument/2006/relationships/hyperlink" Target="https://drive.google.com/open?id=15KDgPCFq3sfPmtt5xX54MeAKk9jAUKVI" TargetMode="External"/><Relationship Id="rId74" Type="http://schemas.openxmlformats.org/officeDocument/2006/relationships/hyperlink" Target="https://drive.google.com/open?id=175wmetPS8lkwNiPqFoJHg0ClHU-Xlywv" TargetMode="External"/><Relationship Id="rId128" Type="http://schemas.openxmlformats.org/officeDocument/2006/relationships/hyperlink" Target="https://drive.google.com/open?id=1KCRYVed39OkGvsCk0Um8ai5Fp51O9jAO" TargetMode="External"/><Relationship Id="rId5" Type="http://schemas.openxmlformats.org/officeDocument/2006/relationships/hyperlink" Target="https://drive.google.com/open?id=12iqDQ8PRPzKO0ZtxepVFD_lo9Oak1i0A" TargetMode="External"/><Relationship Id="rId90" Type="http://schemas.openxmlformats.org/officeDocument/2006/relationships/hyperlink" Target="https://drive.google.com/open?id=1Srw9ivWGChc4dxUZ3qKDvzJAoXfnwUL0" TargetMode="External"/><Relationship Id="rId95" Type="http://schemas.openxmlformats.org/officeDocument/2006/relationships/hyperlink" Target="https://drive.google.com/open?id=1GuCx2Pc9bbIwqE8A8sCI7z2S0TmXENSx" TargetMode="External"/><Relationship Id="rId22" Type="http://schemas.openxmlformats.org/officeDocument/2006/relationships/hyperlink" Target="https://drive.google.com/open?id=1WwnXsHKOqdcxhVKy7K78PfZqcdpIXWPD" TargetMode="External"/><Relationship Id="rId27" Type="http://schemas.openxmlformats.org/officeDocument/2006/relationships/hyperlink" Target="https://drive.google.com/open?id=1bm95wbg0W4QfOhTQ-l3iSNpuXZbayYdA" TargetMode="External"/><Relationship Id="rId43" Type="http://schemas.openxmlformats.org/officeDocument/2006/relationships/hyperlink" Target="https://drive.google.com/open?id=1Q8vNcuhdAz4joWsuGjDNyWvbEU-wJasi" TargetMode="External"/><Relationship Id="rId48" Type="http://schemas.openxmlformats.org/officeDocument/2006/relationships/hyperlink" Target="https://drive.google.com/open?id=1vu-Eev9UKvXcT1YJ8o4Tt9Y-UNmKsclY" TargetMode="External"/><Relationship Id="rId64" Type="http://schemas.openxmlformats.org/officeDocument/2006/relationships/hyperlink" Target="https://drive.google.com/open?id=1TzdMGzyYx5WTozjYRFT2uT4JAqQdxQS9" TargetMode="External"/><Relationship Id="rId69" Type="http://schemas.openxmlformats.org/officeDocument/2006/relationships/hyperlink" Target="https://drive.google.com/open?id=1UA9NOOfm_FUsc0sAasPLGcVIysznqYuP" TargetMode="External"/><Relationship Id="rId113" Type="http://schemas.openxmlformats.org/officeDocument/2006/relationships/hyperlink" Target="https://drive.google.com/open?id=15WtN5v6Aw0eRGykvQp2rGSm_0U6UaInr" TargetMode="External"/><Relationship Id="rId118" Type="http://schemas.openxmlformats.org/officeDocument/2006/relationships/hyperlink" Target="https://drive.google.com/open?id=1_dnXHFhbI_rHIPquJovLBhU46yIrAZ3n" TargetMode="External"/><Relationship Id="rId134" Type="http://schemas.openxmlformats.org/officeDocument/2006/relationships/hyperlink" Target="https://drive.google.com/open?id=1MwSEkrsBBQvBBAIH6sUjmiE0-F2pEfCp" TargetMode="External"/><Relationship Id="rId139" Type="http://schemas.openxmlformats.org/officeDocument/2006/relationships/hyperlink" Target="https://drive.google.com/open?id=14swrKT8z_gymQwhT5IhdH-mVs0pplGko" TargetMode="External"/><Relationship Id="rId80" Type="http://schemas.openxmlformats.org/officeDocument/2006/relationships/hyperlink" Target="https://drive.google.com/open?id=1Y8Cfh87znZW3suakDsP6fLxmlQ9Phsz-" TargetMode="External"/><Relationship Id="rId85" Type="http://schemas.openxmlformats.org/officeDocument/2006/relationships/hyperlink" Target="https://drive.google.com/open?id=1_rR7gN5y9InaQxMnPBe41qRYzIVGu2lO" TargetMode="External"/><Relationship Id="rId12" Type="http://schemas.openxmlformats.org/officeDocument/2006/relationships/hyperlink" Target="https://drive.google.com/open?id=1HftL8nuwMbjUi_N_uPN54iieHc1SNhZ7" TargetMode="External"/><Relationship Id="rId17" Type="http://schemas.openxmlformats.org/officeDocument/2006/relationships/hyperlink" Target="https://drive.google.com/open?id=1FMSZOl4jm7NCv0YV2I76OTv48kR4YjC0" TargetMode="External"/><Relationship Id="rId33" Type="http://schemas.openxmlformats.org/officeDocument/2006/relationships/hyperlink" Target="https://drive.google.com/open?id=1OP1hPRSdOrAR3cXLiyxw1o2ogy31xmuT" TargetMode="External"/><Relationship Id="rId38" Type="http://schemas.openxmlformats.org/officeDocument/2006/relationships/hyperlink" Target="https://drive.google.com/open?id=17d52t5PmTfXPB9_QbA6OqPf9kiImuzOs" TargetMode="External"/><Relationship Id="rId59" Type="http://schemas.openxmlformats.org/officeDocument/2006/relationships/hyperlink" Target="https://drive.google.com/open?id=1gY7a-UzONH12AZX1pFa3JgqUrQtTqrdB" TargetMode="External"/><Relationship Id="rId103" Type="http://schemas.openxmlformats.org/officeDocument/2006/relationships/hyperlink" Target="https://drive.google.com/open?id=14MxsC3C0f207VMLAOa5bWYleWv216rnN" TargetMode="External"/><Relationship Id="rId108" Type="http://schemas.openxmlformats.org/officeDocument/2006/relationships/hyperlink" Target="https://drive.google.com/open?id=1qQa-IfAV_dLOsGZNC17MNWWzKIc7SkUQ" TargetMode="External"/><Relationship Id="rId124" Type="http://schemas.openxmlformats.org/officeDocument/2006/relationships/hyperlink" Target="https://drive.google.com/open?id=16tLU2tsRGSZYpel88kvrTizbREZsrQ7x" TargetMode="External"/><Relationship Id="rId129" Type="http://schemas.openxmlformats.org/officeDocument/2006/relationships/hyperlink" Target="https://drive.google.com/open?id=1qfFagTsqYMPvdSUFin5YtdOKQ0tlmQiT" TargetMode="External"/><Relationship Id="rId54" Type="http://schemas.openxmlformats.org/officeDocument/2006/relationships/hyperlink" Target="https://drive.google.com/open?id=1K-xGQrbagf4oW-D6DTh5YlQTXxo403UC" TargetMode="External"/><Relationship Id="rId70" Type="http://schemas.openxmlformats.org/officeDocument/2006/relationships/hyperlink" Target="https://drive.google.com/open?id=1CN6XrDQMMT9mjrjBPVLl49l3NvnzY1BA" TargetMode="External"/><Relationship Id="rId75" Type="http://schemas.openxmlformats.org/officeDocument/2006/relationships/hyperlink" Target="https://drive.google.com/open?id=1ib28GsSsZ6_D2UPnN34V44_vE4lMsjT1" TargetMode="External"/><Relationship Id="rId91" Type="http://schemas.openxmlformats.org/officeDocument/2006/relationships/hyperlink" Target="https://drive.google.com/open?id=1lggRjpO-1vj3C15DfSKMfH4QeuUpD_tr" TargetMode="External"/><Relationship Id="rId96" Type="http://schemas.openxmlformats.org/officeDocument/2006/relationships/hyperlink" Target="https://drive.google.com/open?id=1IeLpHza4qeddPc7YQ_ReX0Lwwm3ry54W" TargetMode="External"/><Relationship Id="rId140" Type="http://schemas.openxmlformats.org/officeDocument/2006/relationships/hyperlink" Target="https://drive.google.com/open?id=1ANguWjjWSjseyLds8byVP6N9nzOT39tx" TargetMode="External"/><Relationship Id="rId145" Type="http://schemas.openxmlformats.org/officeDocument/2006/relationships/hyperlink" Target="https://drive.google.com/open?id=1Wskr8uc0GZARG5xMSg7mC1mqiEcPBwIx" TargetMode="External"/><Relationship Id="rId1" Type="http://schemas.openxmlformats.org/officeDocument/2006/relationships/hyperlink" Target="https://drive.google.com/open?id=1eLiAAX-JitqlZ_Uy1Wtqd-BaYuer__sy" TargetMode="External"/><Relationship Id="rId6" Type="http://schemas.openxmlformats.org/officeDocument/2006/relationships/hyperlink" Target="https://drive.google.com/open?id=1kU25jEZiCTDYyeWXk7c2rwKjJW51ip9r" TargetMode="External"/><Relationship Id="rId23" Type="http://schemas.openxmlformats.org/officeDocument/2006/relationships/hyperlink" Target="https://drive.google.com/open?id=1a49an2Uxx5--xhVG5AJh9DzmiTTr-8zE" TargetMode="External"/><Relationship Id="rId28" Type="http://schemas.openxmlformats.org/officeDocument/2006/relationships/hyperlink" Target="https://drive.google.com/open?id=13gcBcAKvwZidaHyvwSsOryf5yBWRFTBU" TargetMode="External"/><Relationship Id="rId49" Type="http://schemas.openxmlformats.org/officeDocument/2006/relationships/hyperlink" Target="https://drive.google.com/open?id=14TYRsLkplV2F4PgRT-NqLGyJXyvd-eYE" TargetMode="External"/><Relationship Id="rId114" Type="http://schemas.openxmlformats.org/officeDocument/2006/relationships/hyperlink" Target="https://drive.google.com/open?id=1ZHmYxeoFOC5phCiVio592U7rhVZ0tYXy" TargetMode="External"/><Relationship Id="rId119" Type="http://schemas.openxmlformats.org/officeDocument/2006/relationships/hyperlink" Target="https://drive.google.com/open?id=1mNdABhyD-BWi_0xnmvqaCeLnpVpDiURR" TargetMode="External"/><Relationship Id="rId44" Type="http://schemas.openxmlformats.org/officeDocument/2006/relationships/hyperlink" Target="https://drive.google.com/open?id=1wg6HKw0vboOMxwjSBYFMyCoNLjQe2glH" TargetMode="External"/><Relationship Id="rId60" Type="http://schemas.openxmlformats.org/officeDocument/2006/relationships/hyperlink" Target="https://drive.google.com/open?id=1MnC4kw_8M8wT0rlU24_dE4d_Ds8izo_E" TargetMode="External"/><Relationship Id="rId65" Type="http://schemas.openxmlformats.org/officeDocument/2006/relationships/hyperlink" Target="https://drive.google.com/open?id=1po2Usoq_zwtjp4HX44MoKrgj60hav7UT" TargetMode="External"/><Relationship Id="rId81" Type="http://schemas.openxmlformats.org/officeDocument/2006/relationships/hyperlink" Target="https://drive.google.com/open?id=1uWNsEPoQ08EeVH9plTgpasLN8u23Qn5D" TargetMode="External"/><Relationship Id="rId86" Type="http://schemas.openxmlformats.org/officeDocument/2006/relationships/hyperlink" Target="https://drive.google.com/open?id=1PFip0B7ufHKKeHnUeTAxyWSdWMcEPu7-" TargetMode="External"/><Relationship Id="rId130" Type="http://schemas.openxmlformats.org/officeDocument/2006/relationships/hyperlink" Target="https://drive.google.com/open?id=1isoAII7ef9vNpSjclPMVQR5qOtG59WxP" TargetMode="External"/><Relationship Id="rId135" Type="http://schemas.openxmlformats.org/officeDocument/2006/relationships/hyperlink" Target="https://drive.google.com/open?id=1ifMagLDjS7-z44QC25L9EwxBgIJHujRK" TargetMode="External"/><Relationship Id="rId13" Type="http://schemas.openxmlformats.org/officeDocument/2006/relationships/hyperlink" Target="https://drive.google.com/open?id=19_stumq0aaIfxRLjsrQcctleoeYxzyCD" TargetMode="External"/><Relationship Id="rId18" Type="http://schemas.openxmlformats.org/officeDocument/2006/relationships/hyperlink" Target="https://drive.google.com/open?id=1n6c6KG1MLLnZmc2xervPDiZcGEiOiCyi" TargetMode="External"/><Relationship Id="rId39" Type="http://schemas.openxmlformats.org/officeDocument/2006/relationships/hyperlink" Target="https://drive.google.com/open?id=1lDE3Am1y1Mw5GWKg_p9mLlaSQGqGgcXE" TargetMode="External"/><Relationship Id="rId109" Type="http://schemas.openxmlformats.org/officeDocument/2006/relationships/hyperlink" Target="https://drive.google.com/open?id=1VBmcxDYN7guoxYGYj5s7TrynjAfkJBDw" TargetMode="External"/><Relationship Id="rId34" Type="http://schemas.openxmlformats.org/officeDocument/2006/relationships/hyperlink" Target="https://drive.google.com/open?id=1OujuqSLPbgqHCXkRhnw6h9V5HL8K4Mfe" TargetMode="External"/><Relationship Id="rId50" Type="http://schemas.openxmlformats.org/officeDocument/2006/relationships/hyperlink" Target="https://drive.google.com/open?id=1NGfQlyzAFNPmEvRedGZsf2pxU2BwIdRG" TargetMode="External"/><Relationship Id="rId55" Type="http://schemas.openxmlformats.org/officeDocument/2006/relationships/hyperlink" Target="https://drive.google.com/open?id=183JRK--xQWbxG4bkT39QAKRZBROukIUS" TargetMode="External"/><Relationship Id="rId76" Type="http://schemas.openxmlformats.org/officeDocument/2006/relationships/hyperlink" Target="https://drive.google.com/open?id=16MzYbpU1T2i6yGDx9YltGMm5BWUqBy8I" TargetMode="External"/><Relationship Id="rId97" Type="http://schemas.openxmlformats.org/officeDocument/2006/relationships/hyperlink" Target="https://drive.google.com/open?id=1JvAgn13_aoCqozmenMDl3quKGXMoExO_" TargetMode="External"/><Relationship Id="rId104" Type="http://schemas.openxmlformats.org/officeDocument/2006/relationships/hyperlink" Target="https://drive.google.com/open?id=1flZwOSfHLNBkFuA2mrKyCbnSD5a4EfU0" TargetMode="External"/><Relationship Id="rId120" Type="http://schemas.openxmlformats.org/officeDocument/2006/relationships/hyperlink" Target="https://drive.google.com/open?id=1Vk1aFMxBIdlXyYBKm1PRsmfCVwtQMPsV" TargetMode="External"/><Relationship Id="rId125" Type="http://schemas.openxmlformats.org/officeDocument/2006/relationships/hyperlink" Target="https://drive.google.com/open?id=1cD1N6AEKr1vU2RtVlCAUekMeFW0jONZc" TargetMode="External"/><Relationship Id="rId141" Type="http://schemas.openxmlformats.org/officeDocument/2006/relationships/hyperlink" Target="https://drive.google.com/open?id=1wKQpc_z6296Zpf7qLkmrb96dsJw9h1ez" TargetMode="External"/><Relationship Id="rId146" Type="http://schemas.openxmlformats.org/officeDocument/2006/relationships/hyperlink" Target="https://drive.google.com/open?id=1qFeraJ0W0wL6xeEvbWqkxvRVd6vkiZLO" TargetMode="External"/><Relationship Id="rId7" Type="http://schemas.openxmlformats.org/officeDocument/2006/relationships/hyperlink" Target="https://drive.google.com/open?id=1JiROAHGcZpKBb8AYqsKEkaQIUwITYdd-" TargetMode="External"/><Relationship Id="rId71" Type="http://schemas.openxmlformats.org/officeDocument/2006/relationships/hyperlink" Target="https://drive.google.com/open?id=1IxhwifcGKSW_i_kYEj89Mmqxd2QowsBE" TargetMode="External"/><Relationship Id="rId92" Type="http://schemas.openxmlformats.org/officeDocument/2006/relationships/hyperlink" Target="https://drive.google.com/open?id=1Mevy94ij7-lC7sh8oT3i78qZD05q6nQB" TargetMode="External"/><Relationship Id="rId2" Type="http://schemas.openxmlformats.org/officeDocument/2006/relationships/hyperlink" Target="https://drive.google.com/open?id=1M5W9rcXFlyTmREE9KJFCGx1z3V3z78jK" TargetMode="External"/><Relationship Id="rId29" Type="http://schemas.openxmlformats.org/officeDocument/2006/relationships/hyperlink" Target="https://drive.google.com/open?id=1_qsmYESpm1TZYZBTcSA0bVI1OVnaOqPZ" TargetMode="External"/><Relationship Id="rId24" Type="http://schemas.openxmlformats.org/officeDocument/2006/relationships/hyperlink" Target="https://drive.google.com/open?id=1cFFm7QlOqMpnPhvBRjg5rcmtQTiDSSzl" TargetMode="External"/><Relationship Id="rId40" Type="http://schemas.openxmlformats.org/officeDocument/2006/relationships/hyperlink" Target="https://drive.google.com/open?id=1yLJtRMHB524hoNw9q5pILGEoIKZRcthN" TargetMode="External"/><Relationship Id="rId45" Type="http://schemas.openxmlformats.org/officeDocument/2006/relationships/hyperlink" Target="https://drive.google.com/open?id=1eSKueiB7HIUFlR7czqRlTA0kS2ueqrBv" TargetMode="External"/><Relationship Id="rId66" Type="http://schemas.openxmlformats.org/officeDocument/2006/relationships/hyperlink" Target="https://drive.google.com/open?id=1zg-fW83tan2MPbaZRDYhDZomtXiQ6a_c" TargetMode="External"/><Relationship Id="rId87" Type="http://schemas.openxmlformats.org/officeDocument/2006/relationships/hyperlink" Target="https://drive.google.com/open?id=1VREyEW1L4QF6a_uVmfAOAewpVhgupzXp" TargetMode="External"/><Relationship Id="rId110" Type="http://schemas.openxmlformats.org/officeDocument/2006/relationships/hyperlink" Target="https://drive.google.com/open?id=1k7NrqxzILvpaTm4qWKGA0--kvvfmIIPD" TargetMode="External"/><Relationship Id="rId115" Type="http://schemas.openxmlformats.org/officeDocument/2006/relationships/hyperlink" Target="https://drive.google.com/open?id=1egI1lxqhCpkbi4T4tixnLNGbMi8mvw1h" TargetMode="External"/><Relationship Id="rId131" Type="http://schemas.openxmlformats.org/officeDocument/2006/relationships/hyperlink" Target="https://drive.google.com/open?id=14SFHycDeSjKPiGhW0C0rxgm3MRz-nqXT" TargetMode="External"/><Relationship Id="rId136" Type="http://schemas.openxmlformats.org/officeDocument/2006/relationships/hyperlink" Target="https://drive.google.com/open?id=15udke8hsV9VTpZEmGDtbrUO7CrcGQMlP" TargetMode="External"/><Relationship Id="rId61" Type="http://schemas.openxmlformats.org/officeDocument/2006/relationships/hyperlink" Target="https://drive.google.com/open?id=1-QRkO5YpAkz38prf9Y9Bw8G2tEzPwMOB" TargetMode="External"/><Relationship Id="rId82" Type="http://schemas.openxmlformats.org/officeDocument/2006/relationships/hyperlink" Target="https://drive.google.com/open?id=18AfFhcfGEXSZpB-3buXrF1NwAMcyDqaB" TargetMode="External"/><Relationship Id="rId19" Type="http://schemas.openxmlformats.org/officeDocument/2006/relationships/hyperlink" Target="https://drive.google.com/open?id=1YKKAkGD4EQW-dPfPbHSEbpsBuE7HuDQ2" TargetMode="External"/><Relationship Id="rId14" Type="http://schemas.openxmlformats.org/officeDocument/2006/relationships/hyperlink" Target="https://drive.google.com/open?id=1IfDHf1Ap0Yyo32pZFKUGiyCTMwkquF8X" TargetMode="External"/><Relationship Id="rId30" Type="http://schemas.openxmlformats.org/officeDocument/2006/relationships/hyperlink" Target="https://drive.google.com/open?id=1CSmuYQmqrvrMUUa4nf16cG0GkGD3SynA" TargetMode="External"/><Relationship Id="rId35" Type="http://schemas.openxmlformats.org/officeDocument/2006/relationships/hyperlink" Target="https://drive.google.com/open?id=1WN_3WV6vkXedBc7VCDP6LUrRSoYcekyB" TargetMode="External"/><Relationship Id="rId56" Type="http://schemas.openxmlformats.org/officeDocument/2006/relationships/hyperlink" Target="https://drive.google.com/open?id=1mT_0H1IUWykWAH58LpNzTr7AD2cAcUIN" TargetMode="External"/><Relationship Id="rId77" Type="http://schemas.openxmlformats.org/officeDocument/2006/relationships/hyperlink" Target="https://drive.google.com/open?id=1pn2uyjHZOjP3PxgwzAGWRciKrmPfAeUp" TargetMode="External"/><Relationship Id="rId100" Type="http://schemas.openxmlformats.org/officeDocument/2006/relationships/hyperlink" Target="https://drive.google.com/open?id=1p2tAKq4wDWPhOmNrxcjgQkRnRmLP6JL9" TargetMode="External"/><Relationship Id="rId105" Type="http://schemas.openxmlformats.org/officeDocument/2006/relationships/hyperlink" Target="https://drive.google.com/open?id=1Hg3v8SkyQN2WJQTNtfEU-LeIj27gEi1X" TargetMode="External"/><Relationship Id="rId126" Type="http://schemas.openxmlformats.org/officeDocument/2006/relationships/hyperlink" Target="https://drive.google.com/open?id=1LdvtDzcg_Id4QqvHWSPg28VYwtyzhbnq" TargetMode="External"/><Relationship Id="rId147" Type="http://schemas.openxmlformats.org/officeDocument/2006/relationships/table" Target="../tables/table1.xml"/><Relationship Id="rId8" Type="http://schemas.openxmlformats.org/officeDocument/2006/relationships/hyperlink" Target="https://drive.google.com/open?id=1fjU3RvPo3EX5BcpGMOPN3bz-u6iU2Q4I" TargetMode="External"/><Relationship Id="rId51" Type="http://schemas.openxmlformats.org/officeDocument/2006/relationships/hyperlink" Target="https://drive.google.com/open?id=1F83yxxgfvVETwqxnxgE5y_AiZliJsXcR" TargetMode="External"/><Relationship Id="rId72" Type="http://schemas.openxmlformats.org/officeDocument/2006/relationships/hyperlink" Target="https://drive.google.com/open?id=1FK9Fm-hJrywhyAtb6KX6xUgQ95_L8DCb" TargetMode="External"/><Relationship Id="rId93" Type="http://schemas.openxmlformats.org/officeDocument/2006/relationships/hyperlink" Target="https://drive.google.com/open?id=1jHJg4Ti1HFMCdoVtovSQT6DcEg0-a5gp" TargetMode="External"/><Relationship Id="rId98" Type="http://schemas.openxmlformats.org/officeDocument/2006/relationships/hyperlink" Target="https://drive.google.com/open?id=1tEudZOft8xZpMDsQSQPQeCTefP2_pegg" TargetMode="External"/><Relationship Id="rId121" Type="http://schemas.openxmlformats.org/officeDocument/2006/relationships/hyperlink" Target="https://drive.google.com/open?id=1JyPmA8uNhOVvTRycpVmimBTyYoXMHg0y" TargetMode="External"/><Relationship Id="rId142" Type="http://schemas.openxmlformats.org/officeDocument/2006/relationships/hyperlink" Target="https://drive.google.com/open?id=1-1rwkehkMlzlYTR3c3C47jf_-71kQDOU" TargetMode="External"/><Relationship Id="rId3" Type="http://schemas.openxmlformats.org/officeDocument/2006/relationships/hyperlink" Target="https://drive.google.com/open?id=1KsGJ-oxout_7n7kZQlBeuIYexSo59vI8" TargetMode="External"/><Relationship Id="rId25" Type="http://schemas.openxmlformats.org/officeDocument/2006/relationships/hyperlink" Target="https://drive.google.com/open?id=1hUQTu7-Yh2d6RG0qCUag9TKWRnYl2eLN" TargetMode="External"/><Relationship Id="rId46" Type="http://schemas.openxmlformats.org/officeDocument/2006/relationships/hyperlink" Target="https://drive.google.com/open?id=1VJeC8kIARVBAXRJhaBg-HWlg535qIcyR" TargetMode="External"/><Relationship Id="rId67" Type="http://schemas.openxmlformats.org/officeDocument/2006/relationships/hyperlink" Target="https://drive.google.com/open?id=19H2kjEx3lwbXwq9aKGzDGUKndI7loOGq" TargetMode="External"/><Relationship Id="rId116" Type="http://schemas.openxmlformats.org/officeDocument/2006/relationships/hyperlink" Target="https://drive.google.com/open?id=15AlcG5YugrRMwnS_TVvHf372kGJ9nrqg" TargetMode="External"/><Relationship Id="rId137" Type="http://schemas.openxmlformats.org/officeDocument/2006/relationships/hyperlink" Target="https://drive.google.com/open?id=1vmgil_WaQ0xuPdmdkg1EXsUweEWPvmfe" TargetMode="External"/><Relationship Id="rId20" Type="http://schemas.openxmlformats.org/officeDocument/2006/relationships/hyperlink" Target="https://drive.google.com/open?id=1PhtfDwK7_KSjjmrTzZRu8eaRaS76mByG" TargetMode="External"/><Relationship Id="rId41" Type="http://schemas.openxmlformats.org/officeDocument/2006/relationships/hyperlink" Target="https://drive.google.com/open?id=1MKp2JuTG6FLN0ueQHwBGFuQSkTp8nAcB" TargetMode="External"/><Relationship Id="rId62" Type="http://schemas.openxmlformats.org/officeDocument/2006/relationships/hyperlink" Target="https://drive.google.com/open?id=1o_Awr_qJTuOGbya23lKOgpt8Qe3P_lbn" TargetMode="External"/><Relationship Id="rId83" Type="http://schemas.openxmlformats.org/officeDocument/2006/relationships/hyperlink" Target="https://drive.google.com/open?id=1qAx-W3NPyL2fXx2ueK9w5kZj5_2GVa1W" TargetMode="External"/><Relationship Id="rId88" Type="http://schemas.openxmlformats.org/officeDocument/2006/relationships/hyperlink" Target="https://drive.google.com/open?id=1TETN7AcbomP8by1FR1jjvR6VlAhtKclC" TargetMode="External"/><Relationship Id="rId111" Type="http://schemas.openxmlformats.org/officeDocument/2006/relationships/hyperlink" Target="https://drive.google.com/open?id=1KEgvIgqv-ptL598vs8XqqQyy3OhdPw6S" TargetMode="External"/><Relationship Id="rId132" Type="http://schemas.openxmlformats.org/officeDocument/2006/relationships/hyperlink" Target="https://drive.google.com/open?id=1knpkTpAujRFTgyyCdsXBosb0UgOFoN2E" TargetMode="External"/><Relationship Id="rId15" Type="http://schemas.openxmlformats.org/officeDocument/2006/relationships/hyperlink" Target="https://drive.google.com/open?id=1Ct3HMcGgtkRN1ays-ZSxeiG2cr3txlbM" TargetMode="External"/><Relationship Id="rId36" Type="http://schemas.openxmlformats.org/officeDocument/2006/relationships/hyperlink" Target="https://drive.google.com/open?id=1HSK3BJ7Qx0WE7hATyxPl7JT9fsOOK1DZ" TargetMode="External"/><Relationship Id="rId57" Type="http://schemas.openxmlformats.org/officeDocument/2006/relationships/hyperlink" Target="https://drive.google.com/open?id=12wtFt_wPMKaaRNepL8OxbL8THTvW1rpz" TargetMode="External"/><Relationship Id="rId106" Type="http://schemas.openxmlformats.org/officeDocument/2006/relationships/hyperlink" Target="https://drive.google.com/open?id=12oZ5C6nPLv6t7TKKaCG0GUD4Ii-9w7z0" TargetMode="External"/><Relationship Id="rId127" Type="http://schemas.openxmlformats.org/officeDocument/2006/relationships/hyperlink" Target="https://drive.google.com/open?id=1OeTk1d8S6gK4Pi9SvrmwXAB_UlGSOg3H" TargetMode="External"/><Relationship Id="rId10" Type="http://schemas.openxmlformats.org/officeDocument/2006/relationships/hyperlink" Target="https://drive.google.com/open?id=1ecPUCwGEQYjplmfEYtFc221G1_0qA_T9" TargetMode="External"/><Relationship Id="rId31" Type="http://schemas.openxmlformats.org/officeDocument/2006/relationships/hyperlink" Target="https://drive.google.com/open?id=1C7xbpqRZdhbFYfcF4iO3wNkPMuE8MDbR" TargetMode="External"/><Relationship Id="rId52" Type="http://schemas.openxmlformats.org/officeDocument/2006/relationships/hyperlink" Target="https://drive.google.com/open?id=1qYERsMZYaQUmpyStu7SKkCOMWtWdsSgj" TargetMode="External"/><Relationship Id="rId73" Type="http://schemas.openxmlformats.org/officeDocument/2006/relationships/hyperlink" Target="https://drive.google.com/open?id=1c7K51__DBi4S5c0_jXLS82vJyErpdcEl" TargetMode="External"/><Relationship Id="rId78" Type="http://schemas.openxmlformats.org/officeDocument/2006/relationships/hyperlink" Target="https://drive.google.com/open?id=1eQH55jHKTpEu_X7G0R-3gu5NlgYfY15z" TargetMode="External"/><Relationship Id="rId94" Type="http://schemas.openxmlformats.org/officeDocument/2006/relationships/hyperlink" Target="https://drive.google.com/open?id=1x9PfM7oe68fI1GDoXZmw6oPmH0KIs1iA" TargetMode="External"/><Relationship Id="rId99" Type="http://schemas.openxmlformats.org/officeDocument/2006/relationships/hyperlink" Target="https://drive.google.com/open?id=10Xlmjj0mBNKoHxU001e7vmmevZMvK43s" TargetMode="External"/><Relationship Id="rId101" Type="http://schemas.openxmlformats.org/officeDocument/2006/relationships/hyperlink" Target="https://drive.google.com/open?id=142ZUGj9G7YSmqQj_PBMrNlHaoMghoHPH" TargetMode="External"/><Relationship Id="rId122" Type="http://schemas.openxmlformats.org/officeDocument/2006/relationships/hyperlink" Target="https://drive.google.com/open?id=1pc_PLk8xNWHcoYORgNdryoio50_OJRe6" TargetMode="External"/><Relationship Id="rId143" Type="http://schemas.openxmlformats.org/officeDocument/2006/relationships/hyperlink" Target="https://drive.google.com/open?id=1fr8kqb0qYgoW1kJvGmuYSGKXphKqkO4S" TargetMode="External"/><Relationship Id="rId4" Type="http://schemas.openxmlformats.org/officeDocument/2006/relationships/hyperlink" Target="https://drive.google.com/open?id=1ugWq8gxEvzZ3Zrq6Vt4RfT-zPz7aB4ol" TargetMode="External"/><Relationship Id="rId9" Type="http://schemas.openxmlformats.org/officeDocument/2006/relationships/hyperlink" Target="https://drive.google.com/open?id=17lXQX1mTuaoqy9ifOYdLztSv-UjgbzJ7" TargetMode="External"/><Relationship Id="rId26" Type="http://schemas.openxmlformats.org/officeDocument/2006/relationships/hyperlink" Target="https://drive.google.com/open?id=1nF8b6PoUw5jmaMs3GmfPKH9f_sIPQnnU" TargetMode="External"/><Relationship Id="rId47" Type="http://schemas.openxmlformats.org/officeDocument/2006/relationships/hyperlink" Target="https://drive.google.com/open?id=19fja4M2CuNqJHfMYCUY4xkR30-WEqb0T" TargetMode="External"/><Relationship Id="rId68" Type="http://schemas.openxmlformats.org/officeDocument/2006/relationships/hyperlink" Target="https://drive.google.com/open?id=1yh0RqesENYxgJioTiLC6eCgf_izZmf_X" TargetMode="External"/><Relationship Id="rId89" Type="http://schemas.openxmlformats.org/officeDocument/2006/relationships/hyperlink" Target="https://drive.google.com/open?id=1m-eN6jCH8z1x3lEFlvmJ5RNYEoGDthmr" TargetMode="External"/><Relationship Id="rId112" Type="http://schemas.openxmlformats.org/officeDocument/2006/relationships/hyperlink" Target="https://drive.google.com/open?id=18eY7uINq6UqqU6StJ9GOuPT_sbq1-Zdo" TargetMode="External"/><Relationship Id="rId133" Type="http://schemas.openxmlformats.org/officeDocument/2006/relationships/hyperlink" Target="https://drive.google.com/open?id=1wFF803e-lPpln5LWOzqcWBALjxkJ23cK" TargetMode="External"/><Relationship Id="rId16" Type="http://schemas.openxmlformats.org/officeDocument/2006/relationships/hyperlink" Target="https://drive.google.com/open?id=1cAg185xHKS5Jvh4Ti7ijYMyyD7sf934v" TargetMode="External"/><Relationship Id="rId37" Type="http://schemas.openxmlformats.org/officeDocument/2006/relationships/hyperlink" Target="https://drive.google.com/open?id=13PPlqo63EbZRR7L89FEGqMnXDfQv8n-r" TargetMode="External"/><Relationship Id="rId58" Type="http://schemas.openxmlformats.org/officeDocument/2006/relationships/hyperlink" Target="https://drive.google.com/open?id=11NCk5q4BXejTZqIpnwKMwpnaeKMX6obP" TargetMode="External"/><Relationship Id="rId79" Type="http://schemas.openxmlformats.org/officeDocument/2006/relationships/hyperlink" Target="https://drive.google.com/open?id=1xs2ayM4xI8WCoz54-Cy2bCmBOVwH4tJE" TargetMode="External"/><Relationship Id="rId102" Type="http://schemas.openxmlformats.org/officeDocument/2006/relationships/hyperlink" Target="https://drive.google.com/open?id=1r0QOTrD_EHj73uRDoPT5l74DoIWcc3wT" TargetMode="External"/><Relationship Id="rId123" Type="http://schemas.openxmlformats.org/officeDocument/2006/relationships/hyperlink" Target="https://drive.google.com/open?id=1wsYwrN88WDFb7NWHf8osRL8GnpzbB1e_" TargetMode="External"/><Relationship Id="rId144" Type="http://schemas.openxmlformats.org/officeDocument/2006/relationships/hyperlink" Target="https://drive.google.com/open?id=1GrHh-fNVvY4NmvaaOiftMkxS_2xxmyxP"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J42"/>
  <sheetViews>
    <sheetView tabSelected="1" workbookViewId="0">
      <pane ySplit="1" topLeftCell="A2" activePane="bottomLeft" state="frozen"/>
      <selection pane="bottomLeft" activeCell="AK5" sqref="AK5"/>
    </sheetView>
  </sheetViews>
  <sheetFormatPr baseColWidth="10" defaultColWidth="12.6640625" defaultRowHeight="15.75" customHeight="1" x14ac:dyDescent="0.25"/>
  <cols>
    <col min="1" max="1" width="17.109375" bestFit="1" customWidth="1"/>
    <col min="2" max="2" width="12.33203125" bestFit="1" customWidth="1"/>
    <col min="3" max="3" width="15" bestFit="1" customWidth="1"/>
    <col min="4" max="4" width="39.33203125" bestFit="1" customWidth="1"/>
    <col min="5" max="5" width="18.21875" bestFit="1" customWidth="1"/>
    <col min="6" max="6" width="23.77734375" bestFit="1" customWidth="1"/>
    <col min="7" max="7" width="23.5546875" bestFit="1" customWidth="1"/>
    <col min="8" max="8" width="24.109375" bestFit="1" customWidth="1"/>
    <col min="9" max="9" width="21.6640625" bestFit="1" customWidth="1"/>
    <col min="10" max="10" width="11.33203125" bestFit="1" customWidth="1"/>
    <col min="11" max="11" width="25.88671875" bestFit="1" customWidth="1"/>
    <col min="12" max="12" width="46.77734375" bestFit="1" customWidth="1"/>
    <col min="13" max="13" width="20" bestFit="1" customWidth="1"/>
    <col min="14" max="14" width="36.6640625" bestFit="1" customWidth="1"/>
    <col min="15" max="15" width="21" bestFit="1" customWidth="1"/>
    <col min="16" max="16" width="26.109375" bestFit="1" customWidth="1"/>
    <col min="17" max="17" width="24.5546875" bestFit="1" customWidth="1"/>
    <col min="18" max="18" width="29.109375" bestFit="1" customWidth="1"/>
    <col min="19" max="19" width="40.109375" bestFit="1" customWidth="1"/>
    <col min="20" max="20" width="30.44140625" bestFit="1" customWidth="1"/>
    <col min="21" max="21" width="69.5546875" bestFit="1" customWidth="1"/>
    <col min="22" max="22" width="69.33203125" bestFit="1" customWidth="1"/>
    <col min="23" max="23" width="70.21875" bestFit="1" customWidth="1"/>
    <col min="24" max="24" width="69.6640625" bestFit="1" customWidth="1"/>
    <col min="25" max="25" width="17.77734375" bestFit="1" customWidth="1"/>
    <col min="26" max="26" width="46.88671875" bestFit="1" customWidth="1"/>
    <col min="27" max="27" width="33.77734375" bestFit="1" customWidth="1"/>
    <col min="28" max="28" width="255.77734375" bestFit="1" customWidth="1"/>
    <col min="29" max="29" width="50.6640625" bestFit="1" customWidth="1"/>
    <col min="30" max="30" width="60.6640625" bestFit="1" customWidth="1"/>
    <col min="31" max="31" width="21.77734375" bestFit="1" customWidth="1"/>
    <col min="32" max="32" width="27.6640625" bestFit="1" customWidth="1"/>
    <col min="33" max="33" width="38.44140625" bestFit="1" customWidth="1"/>
    <col min="34" max="34" width="37.44140625" style="11" bestFit="1" customWidth="1"/>
    <col min="35" max="35" width="35.6640625" style="12" bestFit="1" customWidth="1"/>
    <col min="36" max="36" width="76" style="12" bestFit="1" customWidth="1"/>
    <col min="37" max="39" width="18.88671875" customWidth="1"/>
  </cols>
  <sheetData>
    <row r="1" spans="1:36" s="5" customFormat="1" ht="22.5" customHeight="1" x14ac:dyDescent="0.25">
      <c r="A1" s="13" t="s">
        <v>0</v>
      </c>
      <c r="B1" s="13" t="s">
        <v>1</v>
      </c>
      <c r="C1" s="14" t="s">
        <v>2</v>
      </c>
      <c r="D1" s="14" t="s">
        <v>3</v>
      </c>
      <c r="E1" s="14" t="s">
        <v>4</v>
      </c>
      <c r="F1" s="14" t="s">
        <v>5</v>
      </c>
      <c r="G1" s="14" t="s">
        <v>6</v>
      </c>
      <c r="H1" s="14" t="s">
        <v>7</v>
      </c>
      <c r="I1" s="14" t="s">
        <v>118</v>
      </c>
      <c r="J1" s="14" t="s">
        <v>119</v>
      </c>
      <c r="K1" s="14" t="s">
        <v>120</v>
      </c>
      <c r="L1" s="13" t="s">
        <v>132</v>
      </c>
      <c r="M1" s="13" t="s">
        <v>133</v>
      </c>
      <c r="N1" s="13" t="s">
        <v>134</v>
      </c>
      <c r="O1" s="14" t="s">
        <v>8</v>
      </c>
      <c r="P1" s="14" t="s">
        <v>9</v>
      </c>
      <c r="Q1" s="14" t="s">
        <v>10</v>
      </c>
      <c r="R1" s="13" t="s">
        <v>135</v>
      </c>
      <c r="S1" s="13" t="s">
        <v>136</v>
      </c>
      <c r="T1" s="14" t="s">
        <v>11</v>
      </c>
      <c r="U1" s="14" t="s">
        <v>12</v>
      </c>
      <c r="V1" s="13" t="s">
        <v>137</v>
      </c>
      <c r="W1" s="13" t="s">
        <v>138</v>
      </c>
      <c r="X1" s="14" t="s">
        <v>13</v>
      </c>
      <c r="Y1" s="13" t="s">
        <v>139</v>
      </c>
      <c r="Z1" s="14" t="s">
        <v>14</v>
      </c>
      <c r="AA1" s="13" t="s">
        <v>140</v>
      </c>
      <c r="AB1" s="13" t="s">
        <v>141</v>
      </c>
      <c r="AC1" s="14" t="s">
        <v>121</v>
      </c>
      <c r="AD1" s="14" t="s">
        <v>122</v>
      </c>
      <c r="AE1" s="14" t="s">
        <v>123</v>
      </c>
      <c r="AF1" s="14" t="s">
        <v>124</v>
      </c>
      <c r="AG1" s="14" t="s">
        <v>125</v>
      </c>
      <c r="AH1" s="11" t="s">
        <v>48</v>
      </c>
      <c r="AI1" s="12" t="s">
        <v>49</v>
      </c>
      <c r="AJ1" s="12" t="s">
        <v>50</v>
      </c>
    </row>
    <row r="2" spans="1:36" ht="22.5" customHeight="1" x14ac:dyDescent="0.25">
      <c r="A2" s="1">
        <v>46238.96527310185</v>
      </c>
      <c r="B2" s="2">
        <v>0</v>
      </c>
      <c r="C2" s="3" t="s">
        <v>15</v>
      </c>
      <c r="D2" s="3" t="s">
        <v>16</v>
      </c>
      <c r="E2" s="3" t="s">
        <v>17</v>
      </c>
      <c r="F2" s="3" t="s">
        <v>18</v>
      </c>
      <c r="G2" s="3" t="s">
        <v>18</v>
      </c>
      <c r="H2" s="3"/>
      <c r="I2" s="3" t="s">
        <v>19</v>
      </c>
      <c r="J2" s="3" t="s">
        <v>20</v>
      </c>
      <c r="K2" s="3" t="s">
        <v>21</v>
      </c>
      <c r="L2" s="3" t="s">
        <v>22</v>
      </c>
      <c r="M2" s="3" t="s">
        <v>21</v>
      </c>
      <c r="N2" s="3" t="s">
        <v>23</v>
      </c>
      <c r="O2" s="3" t="s">
        <v>21</v>
      </c>
      <c r="P2" s="3" t="s">
        <v>24</v>
      </c>
      <c r="Q2" s="3" t="s">
        <v>23</v>
      </c>
      <c r="R2" s="3" t="s">
        <v>23</v>
      </c>
      <c r="S2" s="3" t="s">
        <v>25</v>
      </c>
      <c r="T2" s="3">
        <v>4</v>
      </c>
      <c r="U2" s="4" t="s">
        <v>26</v>
      </c>
      <c r="V2" s="4" t="s">
        <v>27</v>
      </c>
      <c r="W2" s="4" t="s">
        <v>28</v>
      </c>
      <c r="X2" s="4" t="s">
        <v>29</v>
      </c>
      <c r="Y2" s="3" t="s">
        <v>30</v>
      </c>
      <c r="Z2" s="3" t="s">
        <v>30</v>
      </c>
      <c r="AA2" s="3">
        <v>6</v>
      </c>
      <c r="AB2" s="3" t="s">
        <v>31</v>
      </c>
      <c r="AC2" s="3"/>
      <c r="AD2" s="3"/>
      <c r="AE2" s="3"/>
      <c r="AF2" s="3"/>
      <c r="AG2" s="3"/>
      <c r="AH2" s="15" t="str">
        <f>IFERROR(VLOOKUP(Form_Responses[[#This Row],[Nombre Técnico]],'masa de trabajo'!$B:$C,2,0),"")</f>
        <v>SI</v>
      </c>
      <c r="AI2" s="12" t="str">
        <f>VLOOKUP(Form_Responses[[#This Row],[Nombre Técnico]],'masa de trabajo'!$B:$E,3,0)</f>
        <v>SI</v>
      </c>
      <c r="AJ2" s="12" t="str">
        <f>VLOOKUP(Form_Responses[[#This Row],[Nombre Técnico]],'masa de trabajo'!$B:$E,4,0)</f>
        <v>-</v>
      </c>
    </row>
    <row r="3" spans="1:36" ht="22.5" customHeight="1" x14ac:dyDescent="0.25">
      <c r="A3" s="1">
        <v>46241.444909525468</v>
      </c>
      <c r="B3" s="2">
        <v>0</v>
      </c>
      <c r="C3" s="3" t="s">
        <v>32</v>
      </c>
      <c r="D3" s="3" t="s">
        <v>33</v>
      </c>
      <c r="E3" s="3" t="s">
        <v>17</v>
      </c>
      <c r="F3" s="3" t="s">
        <v>18</v>
      </c>
      <c r="G3" s="3" t="s">
        <v>18</v>
      </c>
      <c r="H3" s="3"/>
      <c r="I3" s="3" t="s">
        <v>19</v>
      </c>
      <c r="J3" s="3" t="s">
        <v>20</v>
      </c>
      <c r="K3" s="3" t="s">
        <v>21</v>
      </c>
      <c r="L3" s="3" t="s">
        <v>34</v>
      </c>
      <c r="M3" s="3" t="s">
        <v>21</v>
      </c>
      <c r="N3" s="3" t="s">
        <v>23</v>
      </c>
      <c r="O3" s="3"/>
      <c r="P3" s="3"/>
      <c r="Q3" s="3" t="s">
        <v>23</v>
      </c>
      <c r="R3" s="3" t="s">
        <v>23</v>
      </c>
      <c r="S3" s="3" t="s">
        <v>35</v>
      </c>
      <c r="T3" s="3">
        <v>4</v>
      </c>
      <c r="U3" s="4" t="s">
        <v>36</v>
      </c>
      <c r="V3" s="4" t="s">
        <v>37</v>
      </c>
      <c r="W3" s="3"/>
      <c r="X3" s="4" t="s">
        <v>38</v>
      </c>
      <c r="Y3" s="3" t="s">
        <v>30</v>
      </c>
      <c r="Z3" s="3" t="s">
        <v>30</v>
      </c>
      <c r="AA3" s="3">
        <v>9</v>
      </c>
      <c r="AB3" s="3" t="s">
        <v>39</v>
      </c>
      <c r="AC3" s="3"/>
      <c r="AD3" s="3"/>
      <c r="AE3" s="3"/>
      <c r="AF3" s="3"/>
      <c r="AG3" s="3"/>
      <c r="AH3" s="15" t="str">
        <f>IFERROR(VLOOKUP(Form_Responses[[#This Row],[Nombre Técnico]],'masa de trabajo'!$B:$C,2,0),"")</f>
        <v>SI</v>
      </c>
      <c r="AI3" s="12" t="str">
        <f>VLOOKUP(Form_Responses[[#This Row],[Nombre Técnico]],'masa de trabajo'!$B:$E,3,0)</f>
        <v>SI</v>
      </c>
      <c r="AJ3" s="12" t="str">
        <f>VLOOKUP(Form_Responses[[#This Row],[Nombre Técnico]],'masa de trabajo'!$B:$E,4,0)</f>
        <v>Auque se nota una mejora, se realizara evantualemete seguimiento a los trabajos</v>
      </c>
    </row>
    <row r="4" spans="1:36" ht="22.5" customHeight="1" x14ac:dyDescent="0.25">
      <c r="A4" s="1">
        <v>46241.449800138886</v>
      </c>
      <c r="B4" s="2">
        <v>0</v>
      </c>
      <c r="C4" s="3" t="s">
        <v>40</v>
      </c>
      <c r="D4" s="3" t="s">
        <v>33</v>
      </c>
      <c r="E4" s="3" t="s">
        <v>17</v>
      </c>
      <c r="F4" s="3" t="s">
        <v>18</v>
      </c>
      <c r="G4" s="3" t="s">
        <v>18</v>
      </c>
      <c r="H4" s="3"/>
      <c r="I4" s="3" t="s">
        <v>19</v>
      </c>
      <c r="J4" s="3" t="s">
        <v>41</v>
      </c>
      <c r="K4" s="3" t="s">
        <v>21</v>
      </c>
      <c r="L4" s="3" t="s">
        <v>42</v>
      </c>
      <c r="M4" s="3" t="s">
        <v>21</v>
      </c>
      <c r="N4" s="3" t="s">
        <v>23</v>
      </c>
      <c r="O4" s="3"/>
      <c r="P4" s="3">
        <v>2</v>
      </c>
      <c r="Q4" s="3" t="s">
        <v>23</v>
      </c>
      <c r="R4" s="3" t="s">
        <v>23</v>
      </c>
      <c r="S4" s="3" t="s">
        <v>43</v>
      </c>
      <c r="T4" s="3">
        <v>4</v>
      </c>
      <c r="U4" s="4" t="s">
        <v>44</v>
      </c>
      <c r="V4" s="4" t="s">
        <v>45</v>
      </c>
      <c r="W4" s="3"/>
      <c r="X4" s="4" t="s">
        <v>46</v>
      </c>
      <c r="Y4" s="3" t="s">
        <v>30</v>
      </c>
      <c r="Z4" s="3" t="s">
        <v>30</v>
      </c>
      <c r="AA4" s="3">
        <v>9</v>
      </c>
      <c r="AB4" s="3" t="s">
        <v>47</v>
      </c>
      <c r="AC4" s="3"/>
      <c r="AD4" s="3"/>
      <c r="AE4" s="3"/>
      <c r="AF4" s="3"/>
      <c r="AG4" s="3"/>
      <c r="AH4" s="15" t="str">
        <f>IFERROR(VLOOKUP(Form_Responses[[#This Row],[Nombre Técnico]],'masa de trabajo'!$B:$C,2,0),"")</f>
        <v>SI</v>
      </c>
      <c r="AI4" s="12" t="str">
        <f>VLOOKUP(Form_Responses[[#This Row],[Nombre Técnico]],'masa de trabajo'!$B:$E,3,0)</f>
        <v>SI</v>
      </c>
      <c r="AJ4" s="12" t="str">
        <f>VLOOKUP(Form_Responses[[#This Row],[Nombre Técnico]],'masa de trabajo'!$B:$E,4,0)</f>
        <v>Auque se nota una mejora, se realizara evantualemete seguimiento a los trabajos</v>
      </c>
    </row>
    <row r="5" spans="1:36" ht="15.75" customHeight="1" x14ac:dyDescent="0.25">
      <c r="A5" s="1">
        <v>46243.7506640625</v>
      </c>
      <c r="B5" s="2">
        <v>0</v>
      </c>
      <c r="C5" s="3" t="s">
        <v>51</v>
      </c>
      <c r="D5" s="3" t="s">
        <v>52</v>
      </c>
      <c r="E5" s="3" t="s">
        <v>53</v>
      </c>
      <c r="F5" s="3" t="s">
        <v>18</v>
      </c>
      <c r="G5" s="3" t="s">
        <v>18</v>
      </c>
      <c r="I5" s="3" t="s">
        <v>19</v>
      </c>
      <c r="J5" s="3" t="s">
        <v>54</v>
      </c>
      <c r="K5" s="3" t="s">
        <v>21</v>
      </c>
      <c r="L5" s="3" t="s">
        <v>55</v>
      </c>
      <c r="M5" s="3" t="s">
        <v>23</v>
      </c>
      <c r="N5" s="3" t="s">
        <v>21</v>
      </c>
      <c r="P5" s="3">
        <v>3</v>
      </c>
      <c r="Q5" s="3" t="s">
        <v>23</v>
      </c>
      <c r="R5" s="3" t="s">
        <v>23</v>
      </c>
      <c r="S5" s="3" t="s">
        <v>56</v>
      </c>
      <c r="T5" s="3">
        <v>3</v>
      </c>
      <c r="U5" s="4" t="s">
        <v>57</v>
      </c>
      <c r="V5" s="4" t="s">
        <v>58</v>
      </c>
      <c r="W5" s="4" t="s">
        <v>59</v>
      </c>
      <c r="X5" s="4" t="s">
        <v>60</v>
      </c>
      <c r="Y5" s="3" t="s">
        <v>30</v>
      </c>
      <c r="Z5" s="3" t="s">
        <v>30</v>
      </c>
      <c r="AA5" s="3">
        <v>7</v>
      </c>
      <c r="AB5" s="3" t="s">
        <v>61</v>
      </c>
      <c r="AC5" s="3"/>
      <c r="AD5" s="3"/>
      <c r="AE5" s="3"/>
      <c r="AF5" s="3"/>
      <c r="AG5" s="3"/>
      <c r="AH5" s="15" t="str">
        <f>IFERROR(VLOOKUP(Form_Responses[[#This Row],[Nombre Técnico]],'masa de trabajo'!$B:$C,2,0),"")</f>
        <v>SI</v>
      </c>
      <c r="AI5" s="12" t="str">
        <f>VLOOKUP(Form_Responses[[#This Row],[Nombre Técnico]],'masa de trabajo'!$B:$E,3,0)</f>
        <v>-</v>
      </c>
      <c r="AJ5" s="12" t="str">
        <f>VLOOKUP(Form_Responses[[#This Row],[Nombre Técnico]],'masa de trabajo'!$B:$E,4,0)</f>
        <v>-</v>
      </c>
    </row>
    <row r="6" spans="1:36" ht="15.75" customHeight="1" x14ac:dyDescent="0.25">
      <c r="A6" s="1">
        <v>46244.901713009254</v>
      </c>
      <c r="B6" s="2">
        <v>0</v>
      </c>
      <c r="C6" s="3" t="s">
        <v>62</v>
      </c>
      <c r="D6" s="3" t="s">
        <v>63</v>
      </c>
      <c r="E6" s="3" t="s">
        <v>64</v>
      </c>
      <c r="F6" s="3" t="s">
        <v>18</v>
      </c>
      <c r="G6" s="3" t="s">
        <v>18</v>
      </c>
      <c r="H6" s="3" t="s">
        <v>65</v>
      </c>
      <c r="I6" s="3" t="s">
        <v>19</v>
      </c>
      <c r="J6" s="3" t="s">
        <v>65</v>
      </c>
      <c r="K6" s="3" t="s">
        <v>23</v>
      </c>
      <c r="L6" s="3" t="s">
        <v>66</v>
      </c>
      <c r="M6" s="3" t="s">
        <v>23</v>
      </c>
      <c r="N6" s="3" t="s">
        <v>23</v>
      </c>
      <c r="O6" s="3" t="s">
        <v>21</v>
      </c>
      <c r="P6" s="3">
        <v>1</v>
      </c>
      <c r="Q6" s="3" t="s">
        <v>23</v>
      </c>
      <c r="R6" s="3" t="s">
        <v>23</v>
      </c>
      <c r="S6" s="3" t="s">
        <v>67</v>
      </c>
      <c r="T6" s="3">
        <v>4</v>
      </c>
      <c r="U6" s="4" t="s">
        <v>68</v>
      </c>
      <c r="V6" s="4" t="s">
        <v>69</v>
      </c>
      <c r="W6" s="4" t="s">
        <v>70</v>
      </c>
      <c r="X6" s="4" t="s">
        <v>71</v>
      </c>
      <c r="Y6" s="3" t="s">
        <v>72</v>
      </c>
      <c r="Z6" s="3" t="s">
        <v>72</v>
      </c>
      <c r="AA6" s="3">
        <v>7</v>
      </c>
      <c r="AB6" s="3" t="s">
        <v>73</v>
      </c>
      <c r="AC6" s="3"/>
      <c r="AD6" s="3"/>
      <c r="AE6" s="3"/>
      <c r="AF6" s="3"/>
      <c r="AG6" s="3"/>
      <c r="AH6" s="15" t="str">
        <f>IFERROR(VLOOKUP(Form_Responses[[#This Row],[Nombre Técnico]],'masa de trabajo'!$B:$C,2,0),"")</f>
        <v>SI</v>
      </c>
      <c r="AI6" s="12" t="str">
        <f>VLOOKUP(Form_Responses[[#This Row],[Nombre Técnico]],'masa de trabajo'!$B:$E,3,0)</f>
        <v>SI</v>
      </c>
      <c r="AJ6" s="12" t="str">
        <f>VLOOKUP(Form_Responses[[#This Row],[Nombre Técnico]],'masa de trabajo'!$B:$E,4,0)</f>
        <v>-</v>
      </c>
    </row>
    <row r="7" spans="1:36" ht="15.75" customHeight="1" x14ac:dyDescent="0.25">
      <c r="A7" s="1">
        <v>46245.540172881942</v>
      </c>
      <c r="B7" s="2">
        <v>0</v>
      </c>
      <c r="C7" s="3" t="s">
        <v>74</v>
      </c>
      <c r="D7" s="3" t="s">
        <v>75</v>
      </c>
      <c r="E7" s="3" t="s">
        <v>53</v>
      </c>
      <c r="F7" s="3" t="s">
        <v>18</v>
      </c>
      <c r="G7" s="3" t="s">
        <v>18</v>
      </c>
      <c r="I7" s="3" t="s">
        <v>19</v>
      </c>
      <c r="J7" s="3" t="s">
        <v>41</v>
      </c>
      <c r="K7" s="3" t="s">
        <v>21</v>
      </c>
      <c r="L7" s="3" t="s">
        <v>76</v>
      </c>
      <c r="N7" s="3" t="s">
        <v>23</v>
      </c>
      <c r="Q7" s="3" t="s">
        <v>77</v>
      </c>
      <c r="R7" s="3" t="s">
        <v>23</v>
      </c>
      <c r="S7" s="3" t="s">
        <v>78</v>
      </c>
      <c r="T7" s="3">
        <v>3</v>
      </c>
      <c r="U7" s="4" t="s">
        <v>79</v>
      </c>
      <c r="V7" s="4" t="s">
        <v>80</v>
      </c>
      <c r="X7" s="4" t="s">
        <v>81</v>
      </c>
      <c r="Y7" s="3" t="s">
        <v>30</v>
      </c>
      <c r="Z7" s="3" t="s">
        <v>72</v>
      </c>
      <c r="AA7" s="3">
        <v>5</v>
      </c>
      <c r="AB7" s="3" t="s">
        <v>82</v>
      </c>
      <c r="AC7" s="3"/>
      <c r="AD7" s="3"/>
      <c r="AE7" s="3"/>
      <c r="AF7" s="3"/>
      <c r="AG7" s="3"/>
      <c r="AH7" s="15" t="str">
        <f>IFERROR(VLOOKUP(Form_Responses[[#This Row],[Nombre Técnico]],'masa de trabajo'!$B:$C,2,0),"")</f>
        <v>SI</v>
      </c>
      <c r="AI7" s="12" t="str">
        <f>VLOOKUP(Form_Responses[[#This Row],[Nombre Técnico]],'masa de trabajo'!$B:$E,3,0)</f>
        <v>-</v>
      </c>
      <c r="AJ7" s="12" t="str">
        <f>VLOOKUP(Form_Responses[[#This Row],[Nombre Técnico]],'masa de trabajo'!$B:$E,4,0)</f>
        <v>-</v>
      </c>
    </row>
    <row r="8" spans="1:36" ht="15.75" customHeight="1" x14ac:dyDescent="0.25">
      <c r="A8" s="1">
        <v>46245.569448587965</v>
      </c>
      <c r="B8" s="2">
        <v>0</v>
      </c>
      <c r="C8" s="3" t="s">
        <v>83</v>
      </c>
      <c r="D8" s="3" t="s">
        <v>84</v>
      </c>
      <c r="E8" s="3" t="s">
        <v>53</v>
      </c>
      <c r="F8" s="3" t="s">
        <v>18</v>
      </c>
      <c r="G8" s="3" t="s">
        <v>18</v>
      </c>
      <c r="I8" s="3" t="s">
        <v>19</v>
      </c>
      <c r="J8" s="3" t="s">
        <v>41</v>
      </c>
      <c r="K8" s="3" t="s">
        <v>21</v>
      </c>
      <c r="L8" s="3" t="s">
        <v>85</v>
      </c>
      <c r="M8" s="3" t="s">
        <v>21</v>
      </c>
      <c r="N8" s="3" t="s">
        <v>21</v>
      </c>
      <c r="P8" s="3">
        <v>2</v>
      </c>
      <c r="Q8" s="3" t="s">
        <v>23</v>
      </c>
      <c r="R8" s="3" t="s">
        <v>23</v>
      </c>
      <c r="S8" s="3" t="s">
        <v>86</v>
      </c>
      <c r="T8" s="3">
        <v>4</v>
      </c>
      <c r="U8" s="4" t="s">
        <v>87</v>
      </c>
      <c r="V8" s="4" t="s">
        <v>88</v>
      </c>
      <c r="W8" s="4" t="s">
        <v>89</v>
      </c>
      <c r="X8" s="4" t="s">
        <v>90</v>
      </c>
      <c r="Y8" s="3" t="s">
        <v>30</v>
      </c>
      <c r="Z8" s="3" t="s">
        <v>30</v>
      </c>
      <c r="AA8" s="3">
        <v>9</v>
      </c>
      <c r="AB8" s="3" t="s">
        <v>91</v>
      </c>
      <c r="AC8" s="3"/>
      <c r="AD8" s="3"/>
      <c r="AE8" s="3"/>
      <c r="AF8" s="3"/>
      <c r="AG8" s="3"/>
      <c r="AH8" s="15" t="str">
        <f>IFERROR(VLOOKUP(Form_Responses[[#This Row],[Nombre Técnico]],'masa de trabajo'!$B:$C,2,0),"")</f>
        <v>SI</v>
      </c>
      <c r="AI8" s="12" t="str">
        <f>VLOOKUP(Form_Responses[[#This Row],[Nombre Técnico]],'masa de trabajo'!$B:$E,3,0)</f>
        <v>SI</v>
      </c>
      <c r="AJ8" s="12" t="str">
        <f>VLOOKUP(Form_Responses[[#This Row],[Nombre Técnico]],'masa de trabajo'!$B:$E,4,0)</f>
        <v>-</v>
      </c>
    </row>
    <row r="9" spans="1:36" ht="15.75" customHeight="1" x14ac:dyDescent="0.25">
      <c r="A9" s="1">
        <v>46246.746229016208</v>
      </c>
      <c r="B9" s="2">
        <v>0</v>
      </c>
      <c r="C9" s="3" t="s">
        <v>92</v>
      </c>
      <c r="D9" s="3" t="s">
        <v>52</v>
      </c>
      <c r="E9" s="3" t="s">
        <v>53</v>
      </c>
      <c r="F9" s="3" t="s">
        <v>18</v>
      </c>
      <c r="G9" s="3" t="s">
        <v>18</v>
      </c>
      <c r="I9" s="3" t="s">
        <v>19</v>
      </c>
      <c r="J9" s="3" t="s">
        <v>41</v>
      </c>
      <c r="K9" s="3" t="s">
        <v>21</v>
      </c>
      <c r="L9" s="3" t="s">
        <v>93</v>
      </c>
      <c r="M9" s="3" t="s">
        <v>23</v>
      </c>
      <c r="N9" s="3" t="s">
        <v>23</v>
      </c>
      <c r="Q9" s="3" t="s">
        <v>23</v>
      </c>
      <c r="R9" s="3" t="s">
        <v>23</v>
      </c>
      <c r="S9" s="3" t="s">
        <v>94</v>
      </c>
      <c r="T9" s="3">
        <v>4</v>
      </c>
      <c r="U9" s="4" t="s">
        <v>95</v>
      </c>
      <c r="V9" s="4" t="s">
        <v>96</v>
      </c>
      <c r="W9" s="4" t="s">
        <v>97</v>
      </c>
      <c r="X9" s="4" t="s">
        <v>98</v>
      </c>
      <c r="Y9" s="3" t="s">
        <v>30</v>
      </c>
      <c r="Z9" s="3" t="s">
        <v>30</v>
      </c>
      <c r="AA9" s="3">
        <v>8</v>
      </c>
      <c r="AB9" s="3" t="s">
        <v>99</v>
      </c>
      <c r="AC9" s="3"/>
      <c r="AD9" s="3"/>
      <c r="AE9" s="3"/>
      <c r="AF9" s="3"/>
      <c r="AG9" s="3"/>
      <c r="AH9" s="15" t="str">
        <f>IFERROR(VLOOKUP(Form_Responses[[#This Row],[Nombre Técnico]],'masa de trabajo'!$B:$C,2,0),"")</f>
        <v>SI</v>
      </c>
      <c r="AI9" s="12" t="str">
        <f>VLOOKUP(Form_Responses[[#This Row],[Nombre Técnico]],'masa de trabajo'!$B:$E,3,0)</f>
        <v>-</v>
      </c>
      <c r="AJ9" s="12" t="str">
        <f>VLOOKUP(Form_Responses[[#This Row],[Nombre Técnico]],'masa de trabajo'!$B:$E,4,0)</f>
        <v>-</v>
      </c>
    </row>
    <row r="10" spans="1:36" ht="15.75" customHeight="1" x14ac:dyDescent="0.25">
      <c r="A10" s="1">
        <v>46247.535424652779</v>
      </c>
      <c r="B10" s="2">
        <v>0</v>
      </c>
      <c r="C10" s="3" t="s">
        <v>100</v>
      </c>
      <c r="D10" s="3" t="s">
        <v>101</v>
      </c>
      <c r="E10" s="3" t="s">
        <v>17</v>
      </c>
      <c r="F10" s="3" t="s">
        <v>18</v>
      </c>
      <c r="G10" s="3" t="s">
        <v>18</v>
      </c>
      <c r="I10" s="3" t="s">
        <v>19</v>
      </c>
      <c r="J10" s="3" t="s">
        <v>20</v>
      </c>
      <c r="K10" s="3" t="s">
        <v>21</v>
      </c>
      <c r="L10" s="3" t="s">
        <v>102</v>
      </c>
      <c r="N10" s="3" t="s">
        <v>21</v>
      </c>
      <c r="P10" s="3">
        <v>2</v>
      </c>
      <c r="Q10" s="3" t="s">
        <v>23</v>
      </c>
      <c r="R10" s="3" t="s">
        <v>23</v>
      </c>
      <c r="S10" s="3" t="s">
        <v>103</v>
      </c>
      <c r="T10" s="3">
        <v>4</v>
      </c>
      <c r="U10" s="4" t="s">
        <v>104</v>
      </c>
      <c r="V10" s="4" t="s">
        <v>105</v>
      </c>
      <c r="X10" s="4" t="s">
        <v>106</v>
      </c>
      <c r="Y10" s="3" t="s">
        <v>30</v>
      </c>
      <c r="Z10" s="3" t="s">
        <v>30</v>
      </c>
      <c r="AA10" s="3">
        <v>6</v>
      </c>
      <c r="AB10" s="3" t="s">
        <v>107</v>
      </c>
      <c r="AC10" s="3"/>
      <c r="AD10" s="3"/>
      <c r="AE10" s="3"/>
      <c r="AF10" s="3"/>
      <c r="AG10" s="3"/>
      <c r="AH10" s="15" t="str">
        <f>IFERROR(VLOOKUP(Form_Responses[[#This Row],[Nombre Técnico]],'masa de trabajo'!$B:$C,2,0),"")</f>
        <v>SI</v>
      </c>
      <c r="AI10" s="12" t="str">
        <f>VLOOKUP(Form_Responses[[#This Row],[Nombre Técnico]],'masa de trabajo'!$B:$E,3,0)</f>
        <v>SI</v>
      </c>
      <c r="AJ10" s="12" t="str">
        <f>VLOOKUP(Form_Responses[[#This Row],[Nombre Técnico]],'masa de trabajo'!$B:$E,4,0)</f>
        <v>-</v>
      </c>
    </row>
    <row r="11" spans="1:36" ht="15.75" customHeight="1" x14ac:dyDescent="0.25">
      <c r="A11" s="1">
        <v>46247.71862049769</v>
      </c>
      <c r="B11" s="2">
        <v>0</v>
      </c>
      <c r="C11" s="3" t="s">
        <v>108</v>
      </c>
      <c r="D11" s="3" t="s">
        <v>109</v>
      </c>
      <c r="E11" s="3" t="s">
        <v>53</v>
      </c>
      <c r="F11" s="3" t="s">
        <v>18</v>
      </c>
      <c r="G11" s="3" t="s">
        <v>18</v>
      </c>
      <c r="I11" s="3" t="s">
        <v>19</v>
      </c>
      <c r="J11" s="3" t="s">
        <v>41</v>
      </c>
      <c r="K11" s="3" t="s">
        <v>21</v>
      </c>
      <c r="L11" s="3" t="s">
        <v>110</v>
      </c>
      <c r="M11" s="3" t="s">
        <v>23</v>
      </c>
      <c r="N11" s="3" t="s">
        <v>21</v>
      </c>
      <c r="Q11" s="3" t="s">
        <v>23</v>
      </c>
      <c r="R11" s="3" t="s">
        <v>23</v>
      </c>
      <c r="S11" s="3" t="s">
        <v>111</v>
      </c>
      <c r="T11" s="3">
        <v>4</v>
      </c>
      <c r="U11" s="4" t="s">
        <v>112</v>
      </c>
      <c r="V11" s="4" t="s">
        <v>113</v>
      </c>
      <c r="W11" s="4" t="s">
        <v>114</v>
      </c>
      <c r="X11" s="4" t="s">
        <v>115</v>
      </c>
      <c r="Y11" s="3" t="s">
        <v>30</v>
      </c>
      <c r="Z11" s="3" t="s">
        <v>30</v>
      </c>
      <c r="AA11" s="3">
        <v>10</v>
      </c>
      <c r="AB11" s="3" t="s">
        <v>116</v>
      </c>
      <c r="AC11" s="3"/>
      <c r="AD11" s="3"/>
      <c r="AE11" s="3"/>
      <c r="AF11" s="3"/>
      <c r="AG11" s="3"/>
      <c r="AH11" s="15" t="str">
        <f>IFERROR(VLOOKUP(Form_Responses[[#This Row],[Nombre Técnico]],'masa de trabajo'!$B:$C,2,0),"")</f>
        <v>-</v>
      </c>
      <c r="AI11" s="12" t="str">
        <f>VLOOKUP(Form_Responses[[#This Row],[Nombre Técnico]],'masa de trabajo'!$B:$E,3,0)</f>
        <v>-</v>
      </c>
      <c r="AJ11" s="12" t="str">
        <f>VLOOKUP(Form_Responses[[#This Row],[Nombre Técnico]],'masa de trabajo'!$B:$E,4,0)</f>
        <v>-</v>
      </c>
    </row>
    <row r="12" spans="1:36" ht="15.75" customHeight="1" x14ac:dyDescent="0.25">
      <c r="A12" s="1">
        <v>46248.497756516204</v>
      </c>
      <c r="B12" s="10">
        <v>8</v>
      </c>
      <c r="C12" s="3" t="s">
        <v>126</v>
      </c>
      <c r="D12" s="3" t="s">
        <v>127</v>
      </c>
      <c r="E12" s="3" t="s">
        <v>17</v>
      </c>
      <c r="F12" s="3" t="s">
        <v>18</v>
      </c>
      <c r="G12" s="3" t="s">
        <v>18</v>
      </c>
      <c r="I12" s="3" t="s">
        <v>128</v>
      </c>
      <c r="J12" s="3" t="s">
        <v>41</v>
      </c>
      <c r="K12" s="3" t="s">
        <v>23</v>
      </c>
      <c r="L12" s="3" t="s">
        <v>129</v>
      </c>
      <c r="M12" s="3" t="s">
        <v>23</v>
      </c>
      <c r="N12" s="3" t="s">
        <v>23</v>
      </c>
      <c r="Q12" s="3" t="s">
        <v>23</v>
      </c>
      <c r="R12" s="3" t="s">
        <v>23</v>
      </c>
      <c r="S12" s="3" t="s">
        <v>130</v>
      </c>
      <c r="T12" s="3">
        <v>4</v>
      </c>
      <c r="AB12" s="3" t="s">
        <v>131</v>
      </c>
      <c r="AC12" s="3" t="s">
        <v>23</v>
      </c>
      <c r="AD12" s="3" t="s">
        <v>23</v>
      </c>
      <c r="AE12" s="3" t="s">
        <v>21</v>
      </c>
      <c r="AF12" s="3" t="s">
        <v>23</v>
      </c>
      <c r="AG12" s="3" t="s">
        <v>21</v>
      </c>
      <c r="AH12" s="15" t="str">
        <f>IFERROR(VLOOKUP(Form_Responses[[#This Row],[Nombre Técnico]],'masa de trabajo'!$B:$C,2,0),"")</f>
        <v>SI</v>
      </c>
      <c r="AI12" s="12" t="str">
        <f>VLOOKUP(Form_Responses[[#This Row],[Nombre Técnico]],'masa de trabajo'!$B:$E,3,0)</f>
        <v>SI</v>
      </c>
      <c r="AJ12" s="12" t="str">
        <f>VLOOKUP(Form_Responses[[#This Row],[Nombre Técnico]],'masa de trabajo'!$B:$E,4,0)</f>
        <v>-</v>
      </c>
    </row>
    <row r="13" spans="1:36" ht="15.75" customHeight="1" x14ac:dyDescent="0.25">
      <c r="A13" s="1">
        <v>46251.615196585648</v>
      </c>
      <c r="B13" s="10">
        <v>7</v>
      </c>
      <c r="C13" s="3" t="s">
        <v>142</v>
      </c>
      <c r="D13" s="3" t="s">
        <v>143</v>
      </c>
      <c r="E13" s="3" t="s">
        <v>53</v>
      </c>
      <c r="F13" s="3" t="s">
        <v>18</v>
      </c>
      <c r="G13" s="3" t="s">
        <v>18</v>
      </c>
      <c r="I13" s="3" t="s">
        <v>128</v>
      </c>
      <c r="J13" s="3" t="s">
        <v>41</v>
      </c>
      <c r="K13" s="3" t="s">
        <v>23</v>
      </c>
      <c r="L13" s="3" t="s">
        <v>144</v>
      </c>
      <c r="M13" s="3" t="s">
        <v>21</v>
      </c>
      <c r="N13" s="3" t="s">
        <v>23</v>
      </c>
      <c r="Q13" s="3" t="s">
        <v>23</v>
      </c>
      <c r="R13" s="3" t="s">
        <v>23</v>
      </c>
      <c r="S13" s="3" t="s">
        <v>145</v>
      </c>
      <c r="T13" s="3">
        <v>4</v>
      </c>
      <c r="U13" s="4" t="s">
        <v>146</v>
      </c>
      <c r="V13" s="4" t="s">
        <v>147</v>
      </c>
      <c r="W13" s="4" t="s">
        <v>148</v>
      </c>
      <c r="X13" s="4" t="s">
        <v>149</v>
      </c>
      <c r="Y13" s="3" t="s">
        <v>30</v>
      </c>
      <c r="Z13" s="3" t="s">
        <v>30</v>
      </c>
      <c r="AA13" s="3">
        <v>8</v>
      </c>
      <c r="AB13" s="3" t="s">
        <v>150</v>
      </c>
      <c r="AD13" s="3" t="s">
        <v>23</v>
      </c>
      <c r="AE13" s="3" t="s">
        <v>21</v>
      </c>
      <c r="AG13" s="3" t="s">
        <v>21</v>
      </c>
      <c r="AH13" s="15" t="str">
        <f>IFERROR(VLOOKUP(Form_Responses[[#This Row],[Nombre Técnico]],'masa de trabajo'!$B:$C,2,0),"")</f>
        <v>-</v>
      </c>
      <c r="AI13" s="12" t="str">
        <f>VLOOKUP(Form_Responses[[#This Row],[Nombre Técnico]],'masa de trabajo'!$B:$E,3,0)</f>
        <v>-</v>
      </c>
      <c r="AJ13" s="12" t="str">
        <f>VLOOKUP(Form_Responses[[#This Row],[Nombre Técnico]],'masa de trabajo'!$B:$E,4,0)</f>
        <v>-</v>
      </c>
    </row>
    <row r="14" spans="1:36" ht="15.75" customHeight="1" x14ac:dyDescent="0.25">
      <c r="A14" s="1">
        <v>46251.636683425924</v>
      </c>
      <c r="B14" s="10">
        <v>1</v>
      </c>
      <c r="C14" s="3" t="s">
        <v>151</v>
      </c>
      <c r="D14" s="3" t="s">
        <v>143</v>
      </c>
      <c r="E14" s="3" t="s">
        <v>53</v>
      </c>
      <c r="F14" s="3" t="s">
        <v>18</v>
      </c>
      <c r="G14" s="3" t="s">
        <v>77</v>
      </c>
      <c r="I14" s="3" t="s">
        <v>128</v>
      </c>
      <c r="J14" s="3" t="s">
        <v>41</v>
      </c>
      <c r="K14" s="3" t="s">
        <v>21</v>
      </c>
      <c r="L14" s="3" t="s">
        <v>152</v>
      </c>
      <c r="M14" s="3" t="s">
        <v>21</v>
      </c>
      <c r="W14" s="4" t="s">
        <v>153</v>
      </c>
      <c r="X14" s="4" t="s">
        <v>154</v>
      </c>
      <c r="Y14" s="3" t="s">
        <v>72</v>
      </c>
      <c r="AA14" s="3">
        <v>7</v>
      </c>
      <c r="AB14" s="3" t="s">
        <v>155</v>
      </c>
      <c r="AD14" s="3" t="s">
        <v>23</v>
      </c>
      <c r="AE14" s="3" t="s">
        <v>21</v>
      </c>
      <c r="AG14" s="3" t="s">
        <v>21</v>
      </c>
      <c r="AH14" s="15" t="str">
        <f>IFERROR(VLOOKUP(Form_Responses[[#This Row],[Nombre Técnico]],'masa de trabajo'!$B:$C,2,0),"")</f>
        <v>-</v>
      </c>
      <c r="AI14" s="12" t="str">
        <f>VLOOKUP(Form_Responses[[#This Row],[Nombre Técnico]],'masa de trabajo'!$B:$E,3,0)</f>
        <v>-</v>
      </c>
      <c r="AJ14" s="12" t="str">
        <f>VLOOKUP(Form_Responses[[#This Row],[Nombre Técnico]],'masa de trabajo'!$B:$E,4,0)</f>
        <v>-</v>
      </c>
    </row>
    <row r="15" spans="1:36" ht="15.75" customHeight="1" x14ac:dyDescent="0.25">
      <c r="A15" s="1">
        <v>46252.401138136571</v>
      </c>
      <c r="B15" s="10">
        <v>9</v>
      </c>
      <c r="C15" s="3" t="s">
        <v>156</v>
      </c>
      <c r="D15" s="3" t="s">
        <v>157</v>
      </c>
      <c r="E15" s="3" t="s">
        <v>17</v>
      </c>
      <c r="F15" s="3" t="s">
        <v>18</v>
      </c>
      <c r="G15" s="3" t="s">
        <v>18</v>
      </c>
      <c r="I15" s="3" t="s">
        <v>19</v>
      </c>
      <c r="J15" s="3" t="s">
        <v>20</v>
      </c>
      <c r="K15" s="3" t="s">
        <v>23</v>
      </c>
      <c r="L15" s="3" t="s">
        <v>158</v>
      </c>
      <c r="N15" s="3" t="s">
        <v>23</v>
      </c>
      <c r="Q15" s="3" t="s">
        <v>23</v>
      </c>
      <c r="R15" s="3" t="s">
        <v>23</v>
      </c>
      <c r="S15" s="3" t="s">
        <v>159</v>
      </c>
      <c r="T15" s="3">
        <v>4</v>
      </c>
      <c r="U15" s="4" t="s">
        <v>160</v>
      </c>
      <c r="V15" s="4" t="s">
        <v>161</v>
      </c>
      <c r="X15" s="4" t="s">
        <v>162</v>
      </c>
      <c r="Y15" s="3" t="s">
        <v>30</v>
      </c>
      <c r="Z15" s="3" t="s">
        <v>30</v>
      </c>
      <c r="AA15" s="3">
        <v>7</v>
      </c>
      <c r="AB15" s="3" t="s">
        <v>163</v>
      </c>
      <c r="AC15" s="3" t="s">
        <v>23</v>
      </c>
      <c r="AD15" s="3" t="s">
        <v>23</v>
      </c>
      <c r="AE15" s="3" t="s">
        <v>21</v>
      </c>
      <c r="AF15" s="3" t="s">
        <v>23</v>
      </c>
      <c r="AG15" s="3" t="s">
        <v>21</v>
      </c>
      <c r="AH15" s="15" t="str">
        <f>IFERROR(VLOOKUP(Form_Responses[[#This Row],[Nombre Técnico]],'masa de trabajo'!$B:$C,2,0),"")</f>
        <v>-</v>
      </c>
      <c r="AI15" s="12" t="str">
        <f>VLOOKUP(Form_Responses[[#This Row],[Nombre Técnico]],'masa de trabajo'!$B:$E,3,0)</f>
        <v>-</v>
      </c>
      <c r="AJ15" s="12" t="str">
        <f>VLOOKUP(Form_Responses[[#This Row],[Nombre Técnico]],'masa de trabajo'!$B:$E,4,0)</f>
        <v>-</v>
      </c>
    </row>
    <row r="16" spans="1:36" ht="15.75" customHeight="1" x14ac:dyDescent="0.25">
      <c r="A16" s="1">
        <v>46252.407164965276</v>
      </c>
      <c r="B16" s="10">
        <v>7</v>
      </c>
      <c r="C16" s="3" t="s">
        <v>164</v>
      </c>
      <c r="D16" s="3" t="s">
        <v>165</v>
      </c>
      <c r="E16" s="3" t="s">
        <v>17</v>
      </c>
      <c r="F16" s="3" t="s">
        <v>77</v>
      </c>
      <c r="G16" s="3" t="s">
        <v>18</v>
      </c>
      <c r="I16" s="3" t="s">
        <v>19</v>
      </c>
      <c r="J16" s="3" t="s">
        <v>20</v>
      </c>
      <c r="K16" s="3" t="s">
        <v>23</v>
      </c>
      <c r="L16" s="3" t="s">
        <v>166</v>
      </c>
      <c r="M16" s="3" t="s">
        <v>23</v>
      </c>
      <c r="N16" s="3" t="s">
        <v>23</v>
      </c>
      <c r="R16" s="3" t="s">
        <v>23</v>
      </c>
      <c r="S16" s="3" t="s">
        <v>167</v>
      </c>
      <c r="T16" s="3">
        <v>3</v>
      </c>
      <c r="U16" s="4" t="s">
        <v>168</v>
      </c>
      <c r="V16" s="4" t="s">
        <v>169</v>
      </c>
      <c r="W16" s="4" t="s">
        <v>170</v>
      </c>
      <c r="X16" s="4" t="s">
        <v>171</v>
      </c>
      <c r="Y16" s="3" t="s">
        <v>72</v>
      </c>
      <c r="Z16" s="3" t="s">
        <v>72</v>
      </c>
      <c r="AA16" s="3">
        <v>4</v>
      </c>
      <c r="AB16" s="3" t="s">
        <v>172</v>
      </c>
      <c r="AC16" s="3" t="s">
        <v>23</v>
      </c>
      <c r="AD16" s="3" t="s">
        <v>23</v>
      </c>
      <c r="AE16" s="3" t="s">
        <v>21</v>
      </c>
      <c r="AF16" s="3" t="s">
        <v>23</v>
      </c>
      <c r="AG16" s="3" t="s">
        <v>21</v>
      </c>
      <c r="AH16" s="15" t="str">
        <f>IFERROR(VLOOKUP(Form_Responses[[#This Row],[Nombre Técnico]],'masa de trabajo'!$B:$C,2,0),"")</f>
        <v>-</v>
      </c>
      <c r="AI16" s="12" t="str">
        <f>VLOOKUP(Form_Responses[[#This Row],[Nombre Técnico]],'masa de trabajo'!$B:$E,3,0)</f>
        <v>-</v>
      </c>
      <c r="AJ16" s="12" t="str">
        <f>VLOOKUP(Form_Responses[[#This Row],[Nombre Técnico]],'masa de trabajo'!$B:$E,4,0)</f>
        <v>-</v>
      </c>
    </row>
    <row r="17" spans="1:36" ht="15.75" customHeight="1" x14ac:dyDescent="0.25">
      <c r="A17" s="1">
        <v>46252.439018576391</v>
      </c>
      <c r="B17" s="10">
        <v>6</v>
      </c>
      <c r="C17" s="3" t="s">
        <v>173</v>
      </c>
      <c r="D17" s="3" t="s">
        <v>174</v>
      </c>
      <c r="E17" s="3" t="s">
        <v>64</v>
      </c>
      <c r="F17" s="3" t="s">
        <v>18</v>
      </c>
      <c r="G17" s="3" t="s">
        <v>18</v>
      </c>
      <c r="H17" s="3" t="s">
        <v>175</v>
      </c>
      <c r="I17" s="3" t="s">
        <v>128</v>
      </c>
      <c r="J17" s="3" t="s">
        <v>20</v>
      </c>
      <c r="K17" s="3" t="s">
        <v>23</v>
      </c>
      <c r="L17" s="3" t="s">
        <v>176</v>
      </c>
      <c r="M17" s="3" t="s">
        <v>21</v>
      </c>
      <c r="N17" s="3" t="s">
        <v>23</v>
      </c>
      <c r="O17" s="3" t="s">
        <v>21</v>
      </c>
      <c r="P17" s="3">
        <v>1</v>
      </c>
      <c r="Q17" s="3" t="s">
        <v>77</v>
      </c>
      <c r="R17" s="3" t="s">
        <v>23</v>
      </c>
      <c r="S17" s="3" t="s">
        <v>177</v>
      </c>
      <c r="T17" s="3">
        <v>4</v>
      </c>
      <c r="U17" s="4" t="s">
        <v>178</v>
      </c>
      <c r="V17" s="4" t="s">
        <v>179</v>
      </c>
      <c r="X17" s="4" t="s">
        <v>180</v>
      </c>
      <c r="Y17" s="3" t="s">
        <v>30</v>
      </c>
      <c r="Z17" s="3" t="s">
        <v>72</v>
      </c>
      <c r="AA17" s="3">
        <v>3</v>
      </c>
      <c r="AB17" s="3" t="s">
        <v>181</v>
      </c>
      <c r="AC17" s="3" t="s">
        <v>77</v>
      </c>
      <c r="AD17" s="3" t="s">
        <v>23</v>
      </c>
      <c r="AE17" s="3" t="s">
        <v>21</v>
      </c>
      <c r="AF17" s="3" t="s">
        <v>23</v>
      </c>
      <c r="AG17" s="3" t="s">
        <v>21</v>
      </c>
      <c r="AH17" s="15" t="str">
        <f>IFERROR(VLOOKUP(Form_Responses[[#This Row],[Nombre Técnico]],'masa de trabajo'!$B:$C,2,0),"")</f>
        <v>SI</v>
      </c>
      <c r="AI17" s="12" t="str">
        <f>VLOOKUP(Form_Responses[[#This Row],[Nombre Técnico]],'masa de trabajo'!$B:$E,3,0)</f>
        <v>SI</v>
      </c>
      <c r="AJ17" s="12" t="str">
        <f>VLOOKUP(Form_Responses[[#This Row],[Nombre Técnico]],'masa de trabajo'!$B:$E,4,0)</f>
        <v>-</v>
      </c>
    </row>
    <row r="18" spans="1:36" ht="15.75" customHeight="1" x14ac:dyDescent="0.25">
      <c r="A18" s="1">
        <v>46252.569284895828</v>
      </c>
      <c r="B18" s="10">
        <v>9</v>
      </c>
      <c r="C18" s="3" t="s">
        <v>182</v>
      </c>
      <c r="D18" s="3" t="s">
        <v>143</v>
      </c>
      <c r="E18" s="3" t="s">
        <v>53</v>
      </c>
      <c r="F18" s="3" t="s">
        <v>18</v>
      </c>
      <c r="G18" s="3" t="s">
        <v>18</v>
      </c>
      <c r="I18" s="3" t="s">
        <v>19</v>
      </c>
      <c r="J18" s="3" t="s">
        <v>20</v>
      </c>
      <c r="K18" s="3" t="s">
        <v>23</v>
      </c>
      <c r="L18" s="3" t="s">
        <v>183</v>
      </c>
      <c r="M18" s="3" t="s">
        <v>23</v>
      </c>
      <c r="N18" s="3" t="s">
        <v>23</v>
      </c>
      <c r="P18" s="3">
        <v>2</v>
      </c>
      <c r="Q18" s="3" t="s">
        <v>23</v>
      </c>
      <c r="R18" s="3" t="s">
        <v>23</v>
      </c>
      <c r="T18" s="3">
        <v>4</v>
      </c>
      <c r="U18" s="4" t="s">
        <v>184</v>
      </c>
      <c r="V18" s="4" t="s">
        <v>185</v>
      </c>
      <c r="W18" s="4" t="s">
        <v>186</v>
      </c>
      <c r="X18" s="4" t="s">
        <v>187</v>
      </c>
      <c r="Y18" s="3" t="s">
        <v>30</v>
      </c>
      <c r="Z18" s="3" t="s">
        <v>30</v>
      </c>
      <c r="AA18" s="3">
        <v>9</v>
      </c>
      <c r="AB18" s="3" t="s">
        <v>188</v>
      </c>
      <c r="AC18" s="3" t="s">
        <v>77</v>
      </c>
      <c r="AD18" s="3" t="s">
        <v>23</v>
      </c>
      <c r="AE18" s="3" t="s">
        <v>21</v>
      </c>
      <c r="AF18" s="3" t="s">
        <v>23</v>
      </c>
      <c r="AG18" s="3" t="s">
        <v>21</v>
      </c>
      <c r="AH18" s="15" t="str">
        <f>IFERROR(VLOOKUP(Form_Responses[[#This Row],[Nombre Técnico]],'masa de trabajo'!$B:$C,2,0),"")</f>
        <v>-</v>
      </c>
      <c r="AI18" s="12" t="str">
        <f>VLOOKUP(Form_Responses[[#This Row],[Nombre Técnico]],'masa de trabajo'!$B:$E,3,0)</f>
        <v>-</v>
      </c>
      <c r="AJ18" s="12" t="str">
        <f>VLOOKUP(Form_Responses[[#This Row],[Nombre Técnico]],'masa de trabajo'!$B:$E,4,0)</f>
        <v>-</v>
      </c>
    </row>
    <row r="19" spans="1:36" ht="15.75" customHeight="1" x14ac:dyDescent="0.25">
      <c r="A19" s="1">
        <v>46252.579421759263</v>
      </c>
      <c r="B19" s="10">
        <v>7</v>
      </c>
      <c r="C19" s="3" t="s">
        <v>189</v>
      </c>
      <c r="D19" s="3" t="s">
        <v>63</v>
      </c>
      <c r="E19" s="3" t="s">
        <v>53</v>
      </c>
      <c r="F19" s="3" t="s">
        <v>18</v>
      </c>
      <c r="G19" s="3" t="s">
        <v>18</v>
      </c>
      <c r="I19" s="3" t="s">
        <v>128</v>
      </c>
      <c r="J19" s="3" t="s">
        <v>41</v>
      </c>
      <c r="K19" s="3" t="s">
        <v>23</v>
      </c>
      <c r="L19" s="3" t="s">
        <v>190</v>
      </c>
      <c r="M19" s="3" t="s">
        <v>23</v>
      </c>
      <c r="N19" s="3" t="s">
        <v>21</v>
      </c>
      <c r="Q19" s="3" t="s">
        <v>23</v>
      </c>
      <c r="R19" s="3" t="s">
        <v>23</v>
      </c>
      <c r="S19" s="3" t="s">
        <v>191</v>
      </c>
      <c r="T19" s="3">
        <v>4</v>
      </c>
      <c r="U19" s="4" t="s">
        <v>192</v>
      </c>
      <c r="V19" s="4" t="s">
        <v>193</v>
      </c>
      <c r="W19" s="4" t="s">
        <v>194</v>
      </c>
      <c r="X19" s="4" t="s">
        <v>195</v>
      </c>
      <c r="Y19" s="3" t="s">
        <v>30</v>
      </c>
      <c r="Z19" s="3" t="s">
        <v>30</v>
      </c>
      <c r="AA19" s="3">
        <v>9</v>
      </c>
      <c r="AB19" s="3" t="s">
        <v>196</v>
      </c>
      <c r="AD19" s="3" t="s">
        <v>23</v>
      </c>
      <c r="AE19" s="3" t="s">
        <v>21</v>
      </c>
      <c r="AG19" s="3" t="s">
        <v>21</v>
      </c>
      <c r="AH19" s="15" t="str">
        <f>IFERROR(VLOOKUP(Form_Responses[[#This Row],[Nombre Técnico]],'masa de trabajo'!$B:$C,2,0),"")</f>
        <v>SI</v>
      </c>
      <c r="AI19" s="12" t="str">
        <f>VLOOKUP(Form_Responses[[#This Row],[Nombre Técnico]],'masa de trabajo'!$B:$E,3,0)</f>
        <v>SI</v>
      </c>
      <c r="AJ19" s="12" t="str">
        <f>VLOOKUP(Form_Responses[[#This Row],[Nombre Técnico]],'masa de trabajo'!$B:$E,4,0)</f>
        <v>-</v>
      </c>
    </row>
    <row r="20" spans="1:36" ht="15.75" customHeight="1" x14ac:dyDescent="0.25">
      <c r="A20" s="1">
        <v>46252.687401099538</v>
      </c>
      <c r="B20" s="10">
        <v>8</v>
      </c>
      <c r="C20" s="3" t="s">
        <v>197</v>
      </c>
      <c r="D20" s="3" t="s">
        <v>101</v>
      </c>
      <c r="E20" s="3" t="s">
        <v>17</v>
      </c>
      <c r="F20" s="3" t="s">
        <v>18</v>
      </c>
      <c r="G20" s="3" t="s">
        <v>18</v>
      </c>
      <c r="I20" s="3" t="s">
        <v>19</v>
      </c>
      <c r="J20" s="3" t="s">
        <v>20</v>
      </c>
      <c r="K20" s="3" t="s">
        <v>23</v>
      </c>
      <c r="L20" s="3" t="s">
        <v>198</v>
      </c>
      <c r="M20" s="3" t="s">
        <v>21</v>
      </c>
      <c r="N20" s="3" t="s">
        <v>23</v>
      </c>
      <c r="P20" s="3">
        <v>3</v>
      </c>
      <c r="Q20" s="3" t="s">
        <v>23</v>
      </c>
      <c r="R20" s="3" t="s">
        <v>23</v>
      </c>
      <c r="T20" s="3">
        <v>3</v>
      </c>
      <c r="U20" s="4" t="s">
        <v>199</v>
      </c>
      <c r="V20" s="4" t="s">
        <v>200</v>
      </c>
      <c r="W20" s="4" t="s">
        <v>201</v>
      </c>
      <c r="X20" s="4" t="s">
        <v>202</v>
      </c>
      <c r="Y20" s="3" t="s">
        <v>72</v>
      </c>
      <c r="Z20" s="3" t="s">
        <v>30</v>
      </c>
      <c r="AA20" s="3">
        <v>5</v>
      </c>
      <c r="AB20" s="3" t="s">
        <v>203</v>
      </c>
      <c r="AC20" s="3" t="s">
        <v>23</v>
      </c>
      <c r="AD20" s="3" t="s">
        <v>23</v>
      </c>
      <c r="AE20" s="3" t="s">
        <v>21</v>
      </c>
      <c r="AF20" s="3" t="s">
        <v>23</v>
      </c>
      <c r="AG20" s="3" t="s">
        <v>21</v>
      </c>
      <c r="AH20" s="15" t="str">
        <f>IFERROR(VLOOKUP(Form_Responses[[#This Row],[Nombre Técnico]],'masa de trabajo'!$B:$C,2,0),"")</f>
        <v>SI</v>
      </c>
      <c r="AI20" s="12" t="str">
        <f>VLOOKUP(Form_Responses[[#This Row],[Nombre Técnico]],'masa de trabajo'!$B:$E,3,0)</f>
        <v>SI</v>
      </c>
      <c r="AJ20" s="12" t="str">
        <f>VLOOKUP(Form_Responses[[#This Row],[Nombre Técnico]],'masa de trabajo'!$B:$E,4,0)</f>
        <v>-</v>
      </c>
    </row>
    <row r="21" spans="1:36" ht="15.75" customHeight="1" x14ac:dyDescent="0.25">
      <c r="A21" s="1">
        <v>46253.408800335645</v>
      </c>
      <c r="B21" s="10">
        <v>7</v>
      </c>
      <c r="C21" s="3" t="s">
        <v>204</v>
      </c>
      <c r="D21" s="3" t="s">
        <v>84</v>
      </c>
      <c r="E21" s="3" t="s">
        <v>64</v>
      </c>
      <c r="F21" s="3" t="s">
        <v>18</v>
      </c>
      <c r="G21" s="3" t="s">
        <v>18</v>
      </c>
      <c r="I21" s="3" t="s">
        <v>19</v>
      </c>
      <c r="J21" s="3" t="s">
        <v>41</v>
      </c>
      <c r="K21" s="3" t="s">
        <v>23</v>
      </c>
      <c r="L21" s="3" t="s">
        <v>205</v>
      </c>
      <c r="M21" s="3" t="s">
        <v>23</v>
      </c>
      <c r="N21" s="3" t="s">
        <v>23</v>
      </c>
      <c r="O21" s="3" t="s">
        <v>21</v>
      </c>
      <c r="P21" s="3">
        <v>2</v>
      </c>
      <c r="Q21" s="3" t="s">
        <v>77</v>
      </c>
      <c r="R21" s="3" t="s">
        <v>23</v>
      </c>
      <c r="S21" s="3" t="s">
        <v>206</v>
      </c>
      <c r="T21" s="3">
        <v>4</v>
      </c>
      <c r="U21" s="4" t="s">
        <v>207</v>
      </c>
      <c r="V21" s="4" t="s">
        <v>208</v>
      </c>
      <c r="X21" s="4" t="s">
        <v>209</v>
      </c>
      <c r="Y21" s="3" t="s">
        <v>30</v>
      </c>
      <c r="Z21" s="3" t="s">
        <v>72</v>
      </c>
      <c r="AA21" s="3">
        <v>5</v>
      </c>
      <c r="AB21" s="3" t="s">
        <v>210</v>
      </c>
      <c r="AC21" s="3" t="s">
        <v>211</v>
      </c>
      <c r="AD21" s="3" t="s">
        <v>23</v>
      </c>
      <c r="AE21" s="3" t="s">
        <v>21</v>
      </c>
      <c r="AF21" s="3" t="s">
        <v>23</v>
      </c>
      <c r="AG21" s="3" t="s">
        <v>21</v>
      </c>
      <c r="AH21" s="15" t="str">
        <f>IFERROR(VLOOKUP(Form_Responses[[#This Row],[Nombre Técnico]],'masa de trabajo'!$B:$C,2,0),"")</f>
        <v>SI</v>
      </c>
      <c r="AI21" s="12" t="str">
        <f>VLOOKUP(Form_Responses[[#This Row],[Nombre Técnico]],'masa de trabajo'!$B:$E,3,0)</f>
        <v>SI</v>
      </c>
      <c r="AJ21" s="12" t="str">
        <f>VLOOKUP(Form_Responses[[#This Row],[Nombre Técnico]],'masa de trabajo'!$B:$E,4,0)</f>
        <v>-</v>
      </c>
    </row>
    <row r="22" spans="1:36" ht="15.75" customHeight="1" x14ac:dyDescent="0.25">
      <c r="A22" s="1">
        <v>46254.036589560186</v>
      </c>
      <c r="B22" s="10">
        <v>9</v>
      </c>
      <c r="C22" s="3" t="s">
        <v>212</v>
      </c>
      <c r="D22" s="3" t="s">
        <v>63</v>
      </c>
      <c r="E22" s="3" t="s">
        <v>53</v>
      </c>
      <c r="F22" s="3" t="s">
        <v>18</v>
      </c>
      <c r="G22" s="3" t="s">
        <v>18</v>
      </c>
      <c r="I22" s="3" t="s">
        <v>19</v>
      </c>
      <c r="J22" s="3" t="s">
        <v>20</v>
      </c>
      <c r="L22" s="3" t="s">
        <v>213</v>
      </c>
      <c r="M22" s="3" t="s">
        <v>23</v>
      </c>
      <c r="N22" s="3" t="s">
        <v>23</v>
      </c>
      <c r="Q22" s="3" t="s">
        <v>23</v>
      </c>
      <c r="R22" s="3" t="s">
        <v>23</v>
      </c>
      <c r="S22" s="3" t="s">
        <v>214</v>
      </c>
      <c r="T22" s="3">
        <v>4</v>
      </c>
      <c r="U22" s="4" t="s">
        <v>215</v>
      </c>
      <c r="V22" s="4" t="s">
        <v>216</v>
      </c>
      <c r="W22" s="4" t="s">
        <v>217</v>
      </c>
      <c r="X22" s="4" t="s">
        <v>218</v>
      </c>
      <c r="Y22" s="3" t="s">
        <v>30</v>
      </c>
      <c r="Z22" s="3" t="s">
        <v>30</v>
      </c>
      <c r="AA22" s="3">
        <v>10</v>
      </c>
      <c r="AB22" s="3" t="s">
        <v>219</v>
      </c>
      <c r="AC22" s="3" t="s">
        <v>23</v>
      </c>
      <c r="AD22" s="3" t="s">
        <v>23</v>
      </c>
      <c r="AE22" s="3" t="s">
        <v>21</v>
      </c>
      <c r="AF22" s="3" t="s">
        <v>23</v>
      </c>
      <c r="AG22" s="3" t="s">
        <v>21</v>
      </c>
      <c r="AH22" s="15" t="str">
        <f>IFERROR(VLOOKUP(Form_Responses[[#This Row],[Nombre Técnico]],'masa de trabajo'!$B:$C,2,0),"")</f>
        <v>SI</v>
      </c>
      <c r="AI22" s="12" t="str">
        <f>VLOOKUP(Form_Responses[[#This Row],[Nombre Técnico]],'masa de trabajo'!$B:$E,3,0)</f>
        <v>SI</v>
      </c>
      <c r="AJ22" s="12" t="str">
        <f>VLOOKUP(Form_Responses[[#This Row],[Nombre Técnico]],'masa de trabajo'!$B:$E,4,0)</f>
        <v>-</v>
      </c>
    </row>
    <row r="23" spans="1:36" ht="15.75" customHeight="1" x14ac:dyDescent="0.25">
      <c r="A23" s="1">
        <v>46254.792688402777</v>
      </c>
      <c r="B23" s="10">
        <v>5</v>
      </c>
      <c r="C23" s="3" t="s">
        <v>220</v>
      </c>
      <c r="D23" s="3" t="s">
        <v>221</v>
      </c>
      <c r="E23" s="3" t="s">
        <v>53</v>
      </c>
      <c r="F23" s="3" t="s">
        <v>18</v>
      </c>
      <c r="G23" s="3" t="s">
        <v>18</v>
      </c>
      <c r="I23" s="3" t="s">
        <v>19</v>
      </c>
      <c r="J23" s="3" t="s">
        <v>54</v>
      </c>
      <c r="L23" s="3" t="s">
        <v>222</v>
      </c>
      <c r="M23" s="3" t="s">
        <v>23</v>
      </c>
      <c r="O23" s="3" t="s">
        <v>23</v>
      </c>
      <c r="P23" s="3">
        <v>4</v>
      </c>
      <c r="Q23" s="3" t="s">
        <v>23</v>
      </c>
      <c r="R23" s="3" t="s">
        <v>23</v>
      </c>
      <c r="S23" s="3" t="s">
        <v>223</v>
      </c>
      <c r="T23" s="3">
        <v>4</v>
      </c>
      <c r="U23" s="4" t="s">
        <v>224</v>
      </c>
      <c r="V23" s="4" t="s">
        <v>225</v>
      </c>
      <c r="W23" s="4" t="s">
        <v>226</v>
      </c>
      <c r="X23" s="4" t="s">
        <v>227</v>
      </c>
      <c r="Y23" s="3" t="s">
        <v>30</v>
      </c>
      <c r="Z23" s="3" t="s">
        <v>30</v>
      </c>
      <c r="AA23" s="3">
        <v>9</v>
      </c>
      <c r="AB23" s="3" t="s">
        <v>228</v>
      </c>
      <c r="AH23" s="15" t="str">
        <f>IFERROR(VLOOKUP(Form_Responses[[#This Row],[Nombre Técnico]],'masa de trabajo'!$B:$C,2,0),"")</f>
        <v>-</v>
      </c>
      <c r="AI23" s="12" t="str">
        <f>VLOOKUP(Form_Responses[[#This Row],[Nombre Técnico]],'masa de trabajo'!$B:$E,3,0)</f>
        <v>-</v>
      </c>
      <c r="AJ23" s="12" t="str">
        <f>VLOOKUP(Form_Responses[[#This Row],[Nombre Técnico]],'masa de trabajo'!$B:$E,4,0)</f>
        <v>-</v>
      </c>
    </row>
    <row r="24" spans="1:36" ht="15.75" customHeight="1" x14ac:dyDescent="0.25">
      <c r="A24" s="1">
        <v>46255.391508726854</v>
      </c>
      <c r="B24" s="10">
        <v>7</v>
      </c>
      <c r="C24" s="3" t="s">
        <v>229</v>
      </c>
      <c r="D24" s="3" t="s">
        <v>221</v>
      </c>
      <c r="E24" s="3" t="s">
        <v>64</v>
      </c>
      <c r="F24" s="3" t="s">
        <v>18</v>
      </c>
      <c r="G24" s="3" t="s">
        <v>18</v>
      </c>
      <c r="I24" s="3" t="s">
        <v>19</v>
      </c>
      <c r="J24" s="3" t="s">
        <v>41</v>
      </c>
      <c r="K24" s="3" t="s">
        <v>21</v>
      </c>
      <c r="L24" s="3" t="s">
        <v>230</v>
      </c>
      <c r="M24" s="3" t="s">
        <v>21</v>
      </c>
      <c r="N24" s="3" t="s">
        <v>23</v>
      </c>
      <c r="O24" s="3" t="s">
        <v>23</v>
      </c>
      <c r="P24" s="3">
        <v>4</v>
      </c>
      <c r="Q24" s="3" t="s">
        <v>23</v>
      </c>
      <c r="R24" s="3" t="s">
        <v>23</v>
      </c>
      <c r="S24" s="3" t="s">
        <v>231</v>
      </c>
      <c r="T24" s="3">
        <v>4</v>
      </c>
      <c r="U24" s="4" t="s">
        <v>232</v>
      </c>
      <c r="V24" s="4" t="s">
        <v>233</v>
      </c>
      <c r="W24" s="4" t="s">
        <v>234</v>
      </c>
      <c r="X24" s="4" t="s">
        <v>235</v>
      </c>
      <c r="Y24" s="3" t="s">
        <v>30</v>
      </c>
      <c r="Z24" s="3" t="s">
        <v>72</v>
      </c>
      <c r="AA24" s="3">
        <v>4</v>
      </c>
      <c r="AB24" s="3" t="s">
        <v>236</v>
      </c>
      <c r="AC24" s="3" t="s">
        <v>23</v>
      </c>
      <c r="AD24" s="3" t="s">
        <v>23</v>
      </c>
      <c r="AE24" s="3" t="s">
        <v>21</v>
      </c>
      <c r="AF24" s="3" t="s">
        <v>23</v>
      </c>
      <c r="AG24" s="3" t="s">
        <v>21</v>
      </c>
      <c r="AH24" s="15" t="str">
        <f>IFERROR(VLOOKUP(Form_Responses[[#This Row],[Nombre Técnico]],'masa de trabajo'!$B:$C,2,0),"")</f>
        <v>-</v>
      </c>
      <c r="AI24" s="12" t="str">
        <f>VLOOKUP(Form_Responses[[#This Row],[Nombre Técnico]],'masa de trabajo'!$B:$E,3,0)</f>
        <v>-</v>
      </c>
      <c r="AJ24" s="12" t="str">
        <f>VLOOKUP(Form_Responses[[#This Row],[Nombre Técnico]],'masa de trabajo'!$B:$E,4,0)</f>
        <v>-</v>
      </c>
    </row>
    <row r="25" spans="1:36" ht="15.75" customHeight="1" x14ac:dyDescent="0.25">
      <c r="A25" s="1">
        <v>46258.603575879628</v>
      </c>
      <c r="B25" s="10">
        <v>7</v>
      </c>
      <c r="C25" s="3" t="s">
        <v>238</v>
      </c>
      <c r="D25" s="3" t="s">
        <v>75</v>
      </c>
      <c r="E25" s="3" t="s">
        <v>53</v>
      </c>
      <c r="F25" s="3" t="s">
        <v>18</v>
      </c>
      <c r="G25" s="3" t="s">
        <v>18</v>
      </c>
      <c r="I25" s="3" t="s">
        <v>128</v>
      </c>
      <c r="J25" s="3" t="s">
        <v>41</v>
      </c>
      <c r="K25" s="3" t="s">
        <v>23</v>
      </c>
      <c r="L25" s="3" t="s">
        <v>239</v>
      </c>
      <c r="N25" s="3" t="s">
        <v>23</v>
      </c>
      <c r="O25" s="3" t="s">
        <v>23</v>
      </c>
      <c r="P25" s="3">
        <v>5</v>
      </c>
      <c r="Q25" s="3" t="s">
        <v>23</v>
      </c>
      <c r="R25" s="3" t="s">
        <v>23</v>
      </c>
      <c r="S25" s="3" t="s">
        <v>240</v>
      </c>
      <c r="T25" s="3">
        <v>4</v>
      </c>
      <c r="U25" s="4" t="s">
        <v>241</v>
      </c>
      <c r="V25" s="4" t="s">
        <v>242</v>
      </c>
      <c r="X25" s="4" t="s">
        <v>243</v>
      </c>
      <c r="Y25" s="3" t="s">
        <v>30</v>
      </c>
      <c r="Z25" s="3" t="s">
        <v>30</v>
      </c>
      <c r="AA25" s="3">
        <v>8</v>
      </c>
      <c r="AB25" s="3" t="s">
        <v>244</v>
      </c>
      <c r="AD25" s="3" t="s">
        <v>23</v>
      </c>
      <c r="AE25" s="3" t="s">
        <v>21</v>
      </c>
      <c r="AG25" s="3" t="s">
        <v>21</v>
      </c>
      <c r="AH25" s="15" t="str">
        <f>IFERROR(VLOOKUP(Form_Responses[[#This Row],[Nombre Técnico]],'masa de trabajo'!$B:$C,2,0),"")</f>
        <v>SI</v>
      </c>
      <c r="AI25" s="12" t="str">
        <f>VLOOKUP(Form_Responses[[#This Row],[Nombre Técnico]],'masa de trabajo'!$B:$E,3,0)</f>
        <v>-</v>
      </c>
      <c r="AJ25" s="12" t="str">
        <f>VLOOKUP(Form_Responses[[#This Row],[Nombre Técnico]],'masa de trabajo'!$B:$E,4,0)</f>
        <v>-</v>
      </c>
    </row>
    <row r="26" spans="1:36" ht="15.75" customHeight="1" x14ac:dyDescent="0.25">
      <c r="A26" s="1">
        <v>46258.674336504628</v>
      </c>
      <c r="B26" s="10">
        <v>7</v>
      </c>
      <c r="C26" s="3" t="s">
        <v>245</v>
      </c>
      <c r="D26" s="3" t="s">
        <v>221</v>
      </c>
      <c r="E26" s="3" t="s">
        <v>53</v>
      </c>
      <c r="F26" s="3" t="s">
        <v>18</v>
      </c>
      <c r="G26" s="3" t="s">
        <v>18</v>
      </c>
      <c r="I26" s="3" t="s">
        <v>128</v>
      </c>
      <c r="J26" s="3" t="s">
        <v>20</v>
      </c>
      <c r="K26" s="3" t="s">
        <v>23</v>
      </c>
      <c r="L26" s="3" t="s">
        <v>246</v>
      </c>
      <c r="M26" s="3" t="s">
        <v>21</v>
      </c>
      <c r="N26" s="3" t="s">
        <v>23</v>
      </c>
      <c r="O26" s="3" t="s">
        <v>21</v>
      </c>
      <c r="Q26" s="3" t="s">
        <v>23</v>
      </c>
      <c r="R26" s="3" t="s">
        <v>23</v>
      </c>
      <c r="S26" s="3" t="s">
        <v>247</v>
      </c>
      <c r="T26" s="3">
        <v>4</v>
      </c>
      <c r="U26" s="4" t="s">
        <v>248</v>
      </c>
      <c r="V26" s="4" t="s">
        <v>249</v>
      </c>
      <c r="W26" s="4" t="s">
        <v>250</v>
      </c>
      <c r="Y26" s="3" t="s">
        <v>30</v>
      </c>
      <c r="Z26" s="3" t="s">
        <v>30</v>
      </c>
      <c r="AA26" s="3">
        <v>8</v>
      </c>
      <c r="AB26" s="3" t="s">
        <v>251</v>
      </c>
      <c r="AD26" s="3" t="s">
        <v>23</v>
      </c>
      <c r="AE26" s="3" t="s">
        <v>21</v>
      </c>
      <c r="AG26" s="3" t="s">
        <v>21</v>
      </c>
      <c r="AH26" s="15" t="str">
        <f>IFERROR(VLOOKUP(Form_Responses[[#This Row],[Nombre Técnico]],'masa de trabajo'!$B:$C,2,0),"")</f>
        <v>-</v>
      </c>
      <c r="AI26" s="12" t="str">
        <f>VLOOKUP(Form_Responses[[#This Row],[Nombre Técnico]],'masa de trabajo'!$B:$E,3,0)</f>
        <v>-</v>
      </c>
      <c r="AJ26" s="12" t="str">
        <f>VLOOKUP(Form_Responses[[#This Row],[Nombre Técnico]],'masa de trabajo'!$B:$E,4,0)</f>
        <v>-</v>
      </c>
    </row>
    <row r="27" spans="1:36" ht="15.75" customHeight="1" x14ac:dyDescent="0.25">
      <c r="A27" s="1">
        <v>46260.768395266205</v>
      </c>
      <c r="B27" s="10">
        <v>6</v>
      </c>
      <c r="C27" s="3" t="s">
        <v>252</v>
      </c>
      <c r="D27" s="3" t="s">
        <v>253</v>
      </c>
      <c r="E27" s="3" t="s">
        <v>53</v>
      </c>
      <c r="F27" s="3" t="s">
        <v>18</v>
      </c>
      <c r="G27" s="3" t="s">
        <v>18</v>
      </c>
      <c r="I27" s="3" t="s">
        <v>128</v>
      </c>
      <c r="J27" s="3" t="s">
        <v>20</v>
      </c>
      <c r="K27" s="3" t="s">
        <v>23</v>
      </c>
      <c r="L27" s="3" t="s">
        <v>254</v>
      </c>
      <c r="N27" s="3" t="s">
        <v>21</v>
      </c>
      <c r="P27" s="3">
        <v>1</v>
      </c>
      <c r="Q27" s="3" t="s">
        <v>23</v>
      </c>
      <c r="R27" s="3" t="s">
        <v>23</v>
      </c>
      <c r="S27" s="3" t="s">
        <v>255</v>
      </c>
      <c r="T27" s="3">
        <v>4</v>
      </c>
      <c r="U27" s="4" t="s">
        <v>256</v>
      </c>
      <c r="V27" s="4" t="s">
        <v>257</v>
      </c>
      <c r="W27" s="4" t="s">
        <v>258</v>
      </c>
      <c r="X27" s="4" t="s">
        <v>259</v>
      </c>
      <c r="Y27" s="3" t="s">
        <v>30</v>
      </c>
      <c r="Z27" s="3" t="s">
        <v>30</v>
      </c>
      <c r="AA27" s="3">
        <v>9</v>
      </c>
      <c r="AB27" s="3" t="s">
        <v>260</v>
      </c>
      <c r="AD27" s="3" t="s">
        <v>23</v>
      </c>
      <c r="AE27" s="3" t="s">
        <v>21</v>
      </c>
      <c r="AG27" s="3" t="s">
        <v>21</v>
      </c>
      <c r="AH27" s="15" t="str">
        <f>IFERROR(VLOOKUP(Form_Responses[[#This Row],[Nombre Técnico]],'masa de trabajo'!$B:$C,2,0),"")</f>
        <v>SI</v>
      </c>
      <c r="AI27" s="12" t="str">
        <f>VLOOKUP(Form_Responses[[#This Row],[Nombre Técnico]],'masa de trabajo'!$B:$E,3,0)</f>
        <v>SI</v>
      </c>
      <c r="AJ27" s="12" t="str">
        <f>VLOOKUP(Form_Responses[[#This Row],[Nombre Técnico]],'masa de trabajo'!$B:$E,4,0)</f>
        <v>-</v>
      </c>
    </row>
    <row r="28" spans="1:36" ht="15.75" customHeight="1" x14ac:dyDescent="0.25">
      <c r="A28" s="1">
        <v>46261.683956793982</v>
      </c>
      <c r="B28" s="10">
        <v>10</v>
      </c>
      <c r="C28" s="3" t="s">
        <v>261</v>
      </c>
      <c r="D28" s="3" t="s">
        <v>84</v>
      </c>
      <c r="E28" s="3" t="s">
        <v>53</v>
      </c>
      <c r="F28" s="3" t="s">
        <v>18</v>
      </c>
      <c r="G28" s="3" t="s">
        <v>18</v>
      </c>
      <c r="I28" s="3" t="s">
        <v>19</v>
      </c>
      <c r="J28" s="3" t="s">
        <v>41</v>
      </c>
      <c r="K28" s="3" t="s">
        <v>23</v>
      </c>
      <c r="L28" s="3" t="s">
        <v>262</v>
      </c>
      <c r="M28" s="3" t="s">
        <v>23</v>
      </c>
      <c r="N28" s="3" t="s">
        <v>23</v>
      </c>
      <c r="Q28" s="3" t="s">
        <v>23</v>
      </c>
      <c r="R28" s="3" t="s">
        <v>23</v>
      </c>
      <c r="S28" s="3" t="s">
        <v>263</v>
      </c>
      <c r="T28" s="3">
        <v>4</v>
      </c>
      <c r="U28" s="4" t="s">
        <v>264</v>
      </c>
      <c r="V28" s="4" t="s">
        <v>265</v>
      </c>
      <c r="W28" s="4" t="s">
        <v>266</v>
      </c>
      <c r="X28" s="4" t="s">
        <v>267</v>
      </c>
      <c r="Y28" s="3" t="s">
        <v>30</v>
      </c>
      <c r="Z28" s="3" t="s">
        <v>30</v>
      </c>
      <c r="AA28" s="3">
        <v>10</v>
      </c>
      <c r="AB28" s="3" t="s">
        <v>268</v>
      </c>
      <c r="AC28" s="3" t="s">
        <v>23</v>
      </c>
      <c r="AD28" s="3" t="s">
        <v>23</v>
      </c>
      <c r="AE28" s="3" t="s">
        <v>21</v>
      </c>
      <c r="AF28" s="3" t="s">
        <v>23</v>
      </c>
      <c r="AG28" s="3" t="s">
        <v>21</v>
      </c>
      <c r="AH28" s="15" t="str">
        <f>IFERROR(VLOOKUP(Form_Responses[[#This Row],[Nombre Técnico]],'masa de trabajo'!$B:$C,2,0),"")</f>
        <v>SI</v>
      </c>
      <c r="AI28" s="12" t="str">
        <f>VLOOKUP(Form_Responses[[#This Row],[Nombre Técnico]],'masa de trabajo'!$B:$E,3,0)</f>
        <v>SI</v>
      </c>
      <c r="AJ28" s="12" t="str">
        <f>VLOOKUP(Form_Responses[[#This Row],[Nombre Técnico]],'masa de trabajo'!$B:$E,4,0)</f>
        <v>-</v>
      </c>
    </row>
    <row r="29" spans="1:36" ht="15.75" customHeight="1" x14ac:dyDescent="0.25">
      <c r="A29" s="1">
        <v>46266.650122476851</v>
      </c>
      <c r="B29" s="10">
        <v>8</v>
      </c>
      <c r="C29" s="3" t="s">
        <v>269</v>
      </c>
      <c r="D29" s="3" t="s">
        <v>221</v>
      </c>
      <c r="E29" s="3" t="s">
        <v>53</v>
      </c>
      <c r="F29" s="3" t="s">
        <v>18</v>
      </c>
      <c r="G29" s="3" t="s">
        <v>18</v>
      </c>
      <c r="I29" s="3" t="s">
        <v>19</v>
      </c>
      <c r="J29" s="3" t="s">
        <v>41</v>
      </c>
      <c r="L29" s="3" t="s">
        <v>270</v>
      </c>
      <c r="M29" s="3" t="s">
        <v>23</v>
      </c>
      <c r="N29" s="3" t="s">
        <v>23</v>
      </c>
      <c r="Q29" s="3" t="s">
        <v>23</v>
      </c>
      <c r="R29" s="3" t="s">
        <v>23</v>
      </c>
      <c r="T29" s="3">
        <v>4</v>
      </c>
      <c r="U29" s="4" t="s">
        <v>271</v>
      </c>
      <c r="V29" s="4" t="s">
        <v>272</v>
      </c>
      <c r="W29" s="4" t="s">
        <v>273</v>
      </c>
      <c r="X29" s="4" t="s">
        <v>274</v>
      </c>
      <c r="Y29" s="3" t="s">
        <v>30</v>
      </c>
      <c r="Z29" s="3" t="s">
        <v>30</v>
      </c>
      <c r="AA29" s="3">
        <v>9</v>
      </c>
      <c r="AB29" s="3" t="s">
        <v>275</v>
      </c>
      <c r="AC29" s="3" t="s">
        <v>77</v>
      </c>
      <c r="AD29" s="3" t="s">
        <v>23</v>
      </c>
      <c r="AE29" s="3" t="s">
        <v>21</v>
      </c>
      <c r="AF29" s="3" t="s">
        <v>23</v>
      </c>
      <c r="AG29" s="3" t="s">
        <v>21</v>
      </c>
      <c r="AH29" s="15" t="str">
        <f>IFERROR(VLOOKUP(Form_Responses[[#This Row],[Nombre Técnico]],'masa de trabajo'!$B:$C,2,0),"")</f>
        <v>-</v>
      </c>
      <c r="AI29" s="12" t="str">
        <f>VLOOKUP(Form_Responses[[#This Row],[Nombre Técnico]],'masa de trabajo'!$B:$E,3,0)</f>
        <v>-</v>
      </c>
      <c r="AJ29" s="12" t="str">
        <f>VLOOKUP(Form_Responses[[#This Row],[Nombre Técnico]],'masa de trabajo'!$B:$E,4,0)</f>
        <v>-</v>
      </c>
    </row>
    <row r="30" spans="1:36" ht="15.75" customHeight="1" x14ac:dyDescent="0.25">
      <c r="A30" s="1">
        <v>46266.829720358801</v>
      </c>
      <c r="B30" s="10">
        <v>9</v>
      </c>
      <c r="C30" s="3" t="s">
        <v>276</v>
      </c>
      <c r="D30" s="3" t="s">
        <v>277</v>
      </c>
      <c r="E30" s="3" t="s">
        <v>53</v>
      </c>
      <c r="F30" s="3" t="s">
        <v>18</v>
      </c>
      <c r="G30" s="3" t="s">
        <v>18</v>
      </c>
      <c r="I30" s="3" t="s">
        <v>19</v>
      </c>
      <c r="J30" s="3" t="s">
        <v>41</v>
      </c>
      <c r="K30" s="3" t="s">
        <v>23</v>
      </c>
      <c r="L30" s="3" t="s">
        <v>278</v>
      </c>
      <c r="M30" s="3" t="s">
        <v>23</v>
      </c>
      <c r="N30" s="3" t="s">
        <v>23</v>
      </c>
      <c r="P30" s="3">
        <v>1</v>
      </c>
      <c r="Q30" s="3" t="s">
        <v>23</v>
      </c>
      <c r="R30" s="3" t="s">
        <v>23</v>
      </c>
      <c r="S30" s="3" t="s">
        <v>279</v>
      </c>
      <c r="T30" s="3">
        <v>4</v>
      </c>
      <c r="U30" s="4" t="s">
        <v>280</v>
      </c>
      <c r="V30" s="4" t="s">
        <v>281</v>
      </c>
      <c r="W30" s="4" t="s">
        <v>282</v>
      </c>
      <c r="X30" s="4" t="s">
        <v>283</v>
      </c>
      <c r="Y30" s="3" t="s">
        <v>30</v>
      </c>
      <c r="Z30" s="3" t="s">
        <v>30</v>
      </c>
      <c r="AA30" s="3">
        <v>9</v>
      </c>
      <c r="AB30" s="3" t="s">
        <v>284</v>
      </c>
      <c r="AC30" s="3" t="s">
        <v>77</v>
      </c>
      <c r="AD30" s="3" t="s">
        <v>23</v>
      </c>
      <c r="AE30" s="3" t="s">
        <v>21</v>
      </c>
      <c r="AF30" s="3" t="s">
        <v>23</v>
      </c>
      <c r="AG30" s="3" t="s">
        <v>21</v>
      </c>
      <c r="AH30" s="15" t="str">
        <f>IFERROR(VLOOKUP(Form_Responses[[#This Row],[Nombre Técnico]],'masa de trabajo'!$B:$C,2,0),"")</f>
        <v>SI</v>
      </c>
      <c r="AI30" s="12" t="str">
        <f>VLOOKUP(Form_Responses[[#This Row],[Nombre Técnico]],'masa de trabajo'!$B:$E,3,0)</f>
        <v>-</v>
      </c>
      <c r="AJ30" s="12" t="str">
        <f>VLOOKUP(Form_Responses[[#This Row],[Nombre Técnico]],'masa de trabajo'!$B:$E,4,0)</f>
        <v>-</v>
      </c>
    </row>
    <row r="31" spans="1:36" ht="15.75" customHeight="1" x14ac:dyDescent="0.25">
      <c r="A31" s="1">
        <v>46267.696003368052</v>
      </c>
      <c r="B31" s="10">
        <v>8</v>
      </c>
      <c r="C31" s="3" t="s">
        <v>285</v>
      </c>
      <c r="D31" s="3" t="s">
        <v>253</v>
      </c>
      <c r="E31" s="3" t="s">
        <v>53</v>
      </c>
      <c r="F31" s="3" t="s">
        <v>18</v>
      </c>
      <c r="G31" s="3" t="s">
        <v>18</v>
      </c>
      <c r="I31" s="3" t="s">
        <v>19</v>
      </c>
      <c r="J31" s="3" t="s">
        <v>41</v>
      </c>
      <c r="K31" s="3" t="s">
        <v>23</v>
      </c>
      <c r="L31" s="3" t="s">
        <v>286</v>
      </c>
      <c r="M31" s="3" t="s">
        <v>21</v>
      </c>
      <c r="N31" s="3" t="s">
        <v>21</v>
      </c>
      <c r="Q31" s="3" t="s">
        <v>23</v>
      </c>
      <c r="R31" s="3" t="s">
        <v>23</v>
      </c>
      <c r="T31" s="3">
        <v>4</v>
      </c>
      <c r="U31" s="4" t="s">
        <v>287</v>
      </c>
      <c r="V31" s="4" t="s">
        <v>288</v>
      </c>
      <c r="W31" s="4" t="s">
        <v>289</v>
      </c>
      <c r="X31" s="4" t="s">
        <v>290</v>
      </c>
      <c r="Y31" s="3" t="s">
        <v>30</v>
      </c>
      <c r="Z31" s="3" t="s">
        <v>30</v>
      </c>
      <c r="AA31" s="3">
        <v>9</v>
      </c>
      <c r="AB31" s="3" t="s">
        <v>291</v>
      </c>
      <c r="AC31" s="3" t="s">
        <v>23</v>
      </c>
      <c r="AD31" s="3" t="s">
        <v>23</v>
      </c>
      <c r="AE31" s="3" t="s">
        <v>21</v>
      </c>
      <c r="AF31" s="3" t="s">
        <v>23</v>
      </c>
      <c r="AG31" s="3" t="s">
        <v>21</v>
      </c>
      <c r="AH31" s="15" t="str">
        <f>IFERROR(VLOOKUP(Form_Responses[[#This Row],[Nombre Técnico]],'masa de trabajo'!$B:$C,2,0),"")</f>
        <v>SI</v>
      </c>
      <c r="AI31" s="12" t="str">
        <f>VLOOKUP(Form_Responses[[#This Row],[Nombre Técnico]],'masa de trabajo'!$B:$E,3,0)</f>
        <v>SI</v>
      </c>
      <c r="AJ31" s="12" t="str">
        <f>VLOOKUP(Form_Responses[[#This Row],[Nombre Técnico]],'masa de trabajo'!$B:$E,4,0)</f>
        <v>-</v>
      </c>
    </row>
    <row r="32" spans="1:36" ht="15.75" customHeight="1" x14ac:dyDescent="0.25">
      <c r="A32" s="1">
        <v>46268.671411990741</v>
      </c>
      <c r="B32" s="10">
        <v>6</v>
      </c>
      <c r="C32" s="3" t="s">
        <v>292</v>
      </c>
      <c r="D32" s="3" t="s">
        <v>221</v>
      </c>
      <c r="E32" s="3" t="s">
        <v>53</v>
      </c>
      <c r="F32" s="3" t="s">
        <v>18</v>
      </c>
      <c r="G32" s="3" t="s">
        <v>18</v>
      </c>
      <c r="I32" s="3" t="s">
        <v>128</v>
      </c>
      <c r="J32" s="3" t="s">
        <v>41</v>
      </c>
      <c r="K32" s="3" t="s">
        <v>23</v>
      </c>
      <c r="L32" s="3" t="s">
        <v>293</v>
      </c>
      <c r="M32" s="3" t="s">
        <v>21</v>
      </c>
      <c r="N32" s="3" t="s">
        <v>21</v>
      </c>
      <c r="Q32" s="3" t="s">
        <v>23</v>
      </c>
      <c r="R32" s="3" t="s">
        <v>23</v>
      </c>
      <c r="S32" s="3" t="s">
        <v>294</v>
      </c>
      <c r="T32" s="3">
        <v>4</v>
      </c>
      <c r="U32" s="4" t="s">
        <v>295</v>
      </c>
      <c r="V32" s="4" t="s">
        <v>296</v>
      </c>
      <c r="W32" s="4" t="s">
        <v>297</v>
      </c>
      <c r="X32" s="4" t="s">
        <v>298</v>
      </c>
      <c r="Y32" s="3" t="s">
        <v>30</v>
      </c>
      <c r="Z32" s="3" t="s">
        <v>30</v>
      </c>
      <c r="AA32" s="3">
        <v>9</v>
      </c>
      <c r="AB32" s="3" t="s">
        <v>299</v>
      </c>
      <c r="AD32" s="3" t="s">
        <v>23</v>
      </c>
      <c r="AE32" s="3" t="s">
        <v>21</v>
      </c>
      <c r="AG32" s="3" t="s">
        <v>21</v>
      </c>
      <c r="AH32" s="15" t="str">
        <f>IFERROR(VLOOKUP(Form_Responses[[#This Row],[Nombre Técnico]],'masa de trabajo'!$B:$C,2,0),"")</f>
        <v>-</v>
      </c>
      <c r="AI32" s="12" t="str">
        <f>VLOOKUP(Form_Responses[[#This Row],[Nombre Técnico]],'masa de trabajo'!$B:$E,3,0)</f>
        <v>-</v>
      </c>
      <c r="AJ32" s="12" t="str">
        <f>VLOOKUP(Form_Responses[[#This Row],[Nombre Técnico]],'masa de trabajo'!$B:$E,4,0)</f>
        <v>-</v>
      </c>
    </row>
    <row r="33" spans="1:36" ht="15.75" customHeight="1" x14ac:dyDescent="0.25">
      <c r="A33" s="1">
        <v>46269.998554641206</v>
      </c>
      <c r="B33" s="10">
        <v>10</v>
      </c>
      <c r="C33" s="3" t="s">
        <v>300</v>
      </c>
      <c r="D33" s="3" t="s">
        <v>63</v>
      </c>
      <c r="E33" s="3" t="s">
        <v>53</v>
      </c>
      <c r="F33" s="3" t="s">
        <v>18</v>
      </c>
      <c r="G33" s="3" t="s">
        <v>18</v>
      </c>
      <c r="I33" s="3" t="s">
        <v>19</v>
      </c>
      <c r="J33" s="3" t="s">
        <v>65</v>
      </c>
      <c r="K33" s="3" t="s">
        <v>23</v>
      </c>
      <c r="L33" s="3" t="s">
        <v>301</v>
      </c>
      <c r="M33" s="3" t="s">
        <v>23</v>
      </c>
      <c r="N33" s="3" t="s">
        <v>23</v>
      </c>
      <c r="P33" s="3">
        <v>1</v>
      </c>
      <c r="Q33" s="3" t="s">
        <v>23</v>
      </c>
      <c r="R33" s="3" t="s">
        <v>23</v>
      </c>
      <c r="S33" s="3" t="s">
        <v>302</v>
      </c>
      <c r="T33" s="3">
        <v>4</v>
      </c>
      <c r="U33" s="4" t="s">
        <v>303</v>
      </c>
      <c r="V33" s="4" t="s">
        <v>304</v>
      </c>
      <c r="W33" s="4" t="s">
        <v>305</v>
      </c>
      <c r="X33" s="4" t="s">
        <v>306</v>
      </c>
      <c r="Y33" s="3" t="s">
        <v>30</v>
      </c>
      <c r="Z33" s="3" t="s">
        <v>30</v>
      </c>
      <c r="AA33" s="3">
        <v>9</v>
      </c>
      <c r="AB33" s="3" t="s">
        <v>307</v>
      </c>
      <c r="AC33" s="3" t="s">
        <v>23</v>
      </c>
      <c r="AD33" s="3" t="s">
        <v>23</v>
      </c>
      <c r="AE33" s="3" t="s">
        <v>21</v>
      </c>
      <c r="AF33" s="3" t="s">
        <v>23</v>
      </c>
      <c r="AG33" s="3" t="s">
        <v>21</v>
      </c>
      <c r="AH33" s="15" t="str">
        <f>IFERROR(VLOOKUP(Form_Responses[[#This Row],[Nombre Técnico]],'masa de trabajo'!$B:$C,2,0),"")</f>
        <v>SI</v>
      </c>
      <c r="AI33" s="12" t="str">
        <f>VLOOKUP(Form_Responses[[#This Row],[Nombre Técnico]],'masa de trabajo'!$B:$E,3,0)</f>
        <v>SI</v>
      </c>
      <c r="AJ33" s="12" t="str">
        <f>VLOOKUP(Form_Responses[[#This Row],[Nombre Técnico]],'masa de trabajo'!$B:$E,4,0)</f>
        <v>-</v>
      </c>
    </row>
    <row r="34" spans="1:36" ht="15.75" customHeight="1" x14ac:dyDescent="0.25">
      <c r="A34" s="1">
        <v>46271.900488796295</v>
      </c>
      <c r="B34" s="10">
        <v>10</v>
      </c>
      <c r="C34" s="3" t="s">
        <v>308</v>
      </c>
      <c r="D34" s="3" t="s">
        <v>101</v>
      </c>
      <c r="E34" s="3" t="s">
        <v>17</v>
      </c>
      <c r="F34" s="3" t="s">
        <v>18</v>
      </c>
      <c r="G34" s="3" t="s">
        <v>18</v>
      </c>
      <c r="I34" s="3" t="s">
        <v>19</v>
      </c>
      <c r="J34" s="3" t="s">
        <v>41</v>
      </c>
      <c r="K34" s="3" t="s">
        <v>23</v>
      </c>
      <c r="L34" s="3" t="s">
        <v>309</v>
      </c>
      <c r="M34" s="3" t="s">
        <v>23</v>
      </c>
      <c r="N34" s="3" t="s">
        <v>23</v>
      </c>
      <c r="O34" s="3" t="s">
        <v>21</v>
      </c>
      <c r="P34" s="3">
        <v>1</v>
      </c>
      <c r="Q34" s="3" t="s">
        <v>23</v>
      </c>
      <c r="R34" s="3" t="s">
        <v>23</v>
      </c>
      <c r="S34" s="3" t="s">
        <v>310</v>
      </c>
      <c r="T34" s="3">
        <v>4</v>
      </c>
      <c r="U34" s="4" t="s">
        <v>311</v>
      </c>
      <c r="V34" s="4" t="s">
        <v>312</v>
      </c>
      <c r="W34" s="4" t="s">
        <v>313</v>
      </c>
      <c r="X34" s="4" t="s">
        <v>314</v>
      </c>
      <c r="Y34" s="3" t="s">
        <v>30</v>
      </c>
      <c r="Z34" s="3" t="s">
        <v>30</v>
      </c>
      <c r="AA34" s="3">
        <v>7</v>
      </c>
      <c r="AB34" s="3" t="s">
        <v>315</v>
      </c>
      <c r="AC34" s="3" t="s">
        <v>23</v>
      </c>
      <c r="AD34" s="3" t="s">
        <v>23</v>
      </c>
      <c r="AE34" s="3" t="s">
        <v>21</v>
      </c>
      <c r="AF34" s="3" t="s">
        <v>23</v>
      </c>
      <c r="AG34" s="3" t="s">
        <v>21</v>
      </c>
      <c r="AH34" s="15" t="str">
        <f>IFERROR(VLOOKUP(Form_Responses[[#This Row],[Nombre Técnico]],'masa de trabajo'!$B:$C,2,0),"")</f>
        <v>SI</v>
      </c>
      <c r="AI34" s="12" t="str">
        <f>VLOOKUP(Form_Responses[[#This Row],[Nombre Técnico]],'masa de trabajo'!$B:$E,3,0)</f>
        <v>SI</v>
      </c>
      <c r="AJ34" s="12" t="str">
        <f>VLOOKUP(Form_Responses[[#This Row],[Nombre Técnico]],'masa de trabajo'!$B:$E,4,0)</f>
        <v>-</v>
      </c>
    </row>
    <row r="35" spans="1:36" ht="15.75" customHeight="1" x14ac:dyDescent="0.25">
      <c r="A35" s="1">
        <v>46271.909165335645</v>
      </c>
      <c r="B35" s="10">
        <v>9</v>
      </c>
      <c r="C35" s="3" t="s">
        <v>316</v>
      </c>
      <c r="D35" s="3" t="s">
        <v>101</v>
      </c>
      <c r="E35" s="3" t="s">
        <v>17</v>
      </c>
      <c r="F35" s="3" t="s">
        <v>18</v>
      </c>
      <c r="G35" s="3" t="s">
        <v>18</v>
      </c>
      <c r="I35" s="3" t="s">
        <v>19</v>
      </c>
      <c r="J35" s="3" t="s">
        <v>41</v>
      </c>
      <c r="K35" s="3" t="s">
        <v>23</v>
      </c>
      <c r="L35" s="3" t="s">
        <v>317</v>
      </c>
      <c r="N35" s="3" t="s">
        <v>23</v>
      </c>
      <c r="P35" s="3">
        <v>2</v>
      </c>
      <c r="Q35" s="3" t="s">
        <v>23</v>
      </c>
      <c r="R35" s="3" t="s">
        <v>23</v>
      </c>
      <c r="S35" s="3" t="s">
        <v>318</v>
      </c>
      <c r="T35" s="3">
        <v>4</v>
      </c>
      <c r="U35" s="4" t="s">
        <v>319</v>
      </c>
      <c r="V35" s="4" t="s">
        <v>320</v>
      </c>
      <c r="W35" s="4" t="s">
        <v>321</v>
      </c>
      <c r="X35" s="4" t="s">
        <v>322</v>
      </c>
      <c r="Y35" s="3" t="s">
        <v>30</v>
      </c>
      <c r="Z35" s="3" t="s">
        <v>30</v>
      </c>
      <c r="AA35" s="3">
        <v>8</v>
      </c>
      <c r="AB35" s="3" t="s">
        <v>323</v>
      </c>
      <c r="AC35" s="3" t="s">
        <v>23</v>
      </c>
      <c r="AD35" s="3" t="s">
        <v>23</v>
      </c>
      <c r="AE35" s="3" t="s">
        <v>21</v>
      </c>
      <c r="AF35" s="3" t="s">
        <v>23</v>
      </c>
      <c r="AG35" s="3" t="s">
        <v>21</v>
      </c>
      <c r="AH35" s="15" t="str">
        <f>IFERROR(VLOOKUP(Form_Responses[[#This Row],[Nombre Técnico]],'masa de trabajo'!$B:$C,2,0),"")</f>
        <v>SI</v>
      </c>
      <c r="AI35" s="12" t="str">
        <f>VLOOKUP(Form_Responses[[#This Row],[Nombre Técnico]],'masa de trabajo'!$B:$E,3,0)</f>
        <v>SI</v>
      </c>
      <c r="AJ35" s="12" t="str">
        <f>VLOOKUP(Form_Responses[[#This Row],[Nombre Técnico]],'masa de trabajo'!$B:$E,4,0)</f>
        <v>-</v>
      </c>
    </row>
    <row r="36" spans="1:36" ht="15.75" customHeight="1" x14ac:dyDescent="0.25">
      <c r="A36" s="1">
        <v>46271.929969872683</v>
      </c>
      <c r="B36" s="10">
        <v>6</v>
      </c>
      <c r="C36" s="3" t="s">
        <v>324</v>
      </c>
      <c r="D36" s="3" t="s">
        <v>101</v>
      </c>
      <c r="E36" s="3" t="s">
        <v>17</v>
      </c>
      <c r="F36" s="3" t="s">
        <v>18</v>
      </c>
      <c r="G36" s="3" t="s">
        <v>18</v>
      </c>
      <c r="I36" s="3" t="s">
        <v>19</v>
      </c>
      <c r="J36" s="3" t="s">
        <v>65</v>
      </c>
      <c r="L36" s="3" t="s">
        <v>325</v>
      </c>
      <c r="N36" s="3" t="s">
        <v>23</v>
      </c>
      <c r="O36" s="3" t="s">
        <v>23</v>
      </c>
      <c r="Q36" s="3" t="s">
        <v>23</v>
      </c>
      <c r="R36" s="3" t="s">
        <v>23</v>
      </c>
      <c r="S36" s="3" t="s">
        <v>326</v>
      </c>
      <c r="T36" s="3">
        <v>4</v>
      </c>
      <c r="U36" s="4" t="s">
        <v>327</v>
      </c>
      <c r="V36" s="4" t="s">
        <v>328</v>
      </c>
      <c r="X36" s="4" t="s">
        <v>329</v>
      </c>
      <c r="Y36" s="3" t="s">
        <v>30</v>
      </c>
      <c r="Z36" s="3" t="s">
        <v>30</v>
      </c>
      <c r="AA36" s="3">
        <v>7</v>
      </c>
      <c r="AB36" s="3" t="s">
        <v>330</v>
      </c>
      <c r="AD36" s="3" t="s">
        <v>23</v>
      </c>
      <c r="AH36" s="15" t="str">
        <f>IFERROR(VLOOKUP(Form_Responses[[#This Row],[Nombre Técnico]],'masa de trabajo'!$B:$C,2,0),"")</f>
        <v>SI</v>
      </c>
      <c r="AI36" s="12" t="str">
        <f>VLOOKUP(Form_Responses[[#This Row],[Nombre Técnico]],'masa de trabajo'!$B:$E,3,0)</f>
        <v>SI</v>
      </c>
      <c r="AJ36" s="12" t="str">
        <f>VLOOKUP(Form_Responses[[#This Row],[Nombre Técnico]],'masa de trabajo'!$B:$E,4,0)</f>
        <v>-</v>
      </c>
    </row>
    <row r="37" spans="1:36" ht="15.75" customHeight="1" x14ac:dyDescent="0.25">
      <c r="A37" s="1">
        <v>46271.935383136573</v>
      </c>
      <c r="B37" s="10">
        <v>8</v>
      </c>
      <c r="C37" s="3" t="s">
        <v>331</v>
      </c>
      <c r="D37" s="3" t="s">
        <v>101</v>
      </c>
      <c r="E37" s="3" t="s">
        <v>17</v>
      </c>
      <c r="F37" s="3" t="s">
        <v>18</v>
      </c>
      <c r="G37" s="3" t="s">
        <v>18</v>
      </c>
      <c r="I37" s="3" t="s">
        <v>19</v>
      </c>
      <c r="J37" s="3" t="s">
        <v>65</v>
      </c>
      <c r="L37" s="3" t="s">
        <v>332</v>
      </c>
      <c r="N37" s="3" t="s">
        <v>23</v>
      </c>
      <c r="P37" s="3">
        <v>2</v>
      </c>
      <c r="Q37" s="3" t="s">
        <v>23</v>
      </c>
      <c r="R37" s="3" t="s">
        <v>23</v>
      </c>
      <c r="S37" s="3" t="s">
        <v>333</v>
      </c>
      <c r="T37" s="16" t="s">
        <v>334</v>
      </c>
      <c r="U37" s="4" t="s">
        <v>335</v>
      </c>
      <c r="V37" s="4" t="s">
        <v>336</v>
      </c>
      <c r="X37" s="4" t="s">
        <v>337</v>
      </c>
      <c r="Y37" s="3" t="s">
        <v>30</v>
      </c>
      <c r="Z37" s="3" t="s">
        <v>30</v>
      </c>
      <c r="AA37" s="3">
        <v>6</v>
      </c>
      <c r="AB37" s="3" t="s">
        <v>338</v>
      </c>
      <c r="AC37" s="3" t="s">
        <v>23</v>
      </c>
      <c r="AD37" s="3" t="s">
        <v>23</v>
      </c>
      <c r="AF37" s="3" t="s">
        <v>23</v>
      </c>
      <c r="AH37" s="15" t="str">
        <f>IFERROR(VLOOKUP(Form_Responses[[#This Row],[Nombre Técnico]],'masa de trabajo'!$B:$C,2,0),"")</f>
        <v>SI</v>
      </c>
      <c r="AI37" s="12" t="str">
        <f>VLOOKUP(Form_Responses[[#This Row],[Nombre Técnico]],'masa de trabajo'!$B:$E,3,0)</f>
        <v>SI</v>
      </c>
      <c r="AJ37" s="12" t="str">
        <f>VLOOKUP(Form_Responses[[#This Row],[Nombre Técnico]],'masa de trabajo'!$B:$E,4,0)</f>
        <v>-</v>
      </c>
    </row>
    <row r="38" spans="1:36" ht="15.75" customHeight="1" x14ac:dyDescent="0.25">
      <c r="A38" s="1">
        <v>46271.948370185186</v>
      </c>
      <c r="B38" s="10">
        <v>8</v>
      </c>
      <c r="C38" s="3" t="s">
        <v>339</v>
      </c>
      <c r="D38" s="3" t="s">
        <v>340</v>
      </c>
      <c r="E38" s="3" t="s">
        <v>17</v>
      </c>
      <c r="F38" s="3" t="s">
        <v>18</v>
      </c>
      <c r="G38" s="3" t="s">
        <v>18</v>
      </c>
      <c r="I38" s="3" t="s">
        <v>19</v>
      </c>
      <c r="J38" s="3" t="s">
        <v>65</v>
      </c>
      <c r="L38" s="3" t="s">
        <v>341</v>
      </c>
      <c r="N38" s="3" t="s">
        <v>23</v>
      </c>
      <c r="Q38" s="3" t="s">
        <v>23</v>
      </c>
      <c r="R38" s="3" t="s">
        <v>23</v>
      </c>
      <c r="S38" s="3" t="s">
        <v>342</v>
      </c>
      <c r="T38" s="3">
        <v>4</v>
      </c>
      <c r="U38" s="4" t="s">
        <v>343</v>
      </c>
      <c r="V38" s="4" t="s">
        <v>344</v>
      </c>
      <c r="X38" s="4" t="s">
        <v>345</v>
      </c>
      <c r="Y38" s="3" t="s">
        <v>30</v>
      </c>
      <c r="Z38" s="3" t="s">
        <v>30</v>
      </c>
      <c r="AA38" s="3">
        <v>8</v>
      </c>
      <c r="AB38" s="3" t="s">
        <v>346</v>
      </c>
      <c r="AC38" s="3" t="s">
        <v>23</v>
      </c>
      <c r="AD38" s="3" t="s">
        <v>23</v>
      </c>
      <c r="AF38" s="3" t="s">
        <v>23</v>
      </c>
      <c r="AH38" s="15" t="str">
        <f>IFERROR(VLOOKUP(Form_Responses[[#This Row],[Nombre Técnico]],'masa de trabajo'!$B:$C,2,0),"")</f>
        <v>-</v>
      </c>
      <c r="AI38" s="12" t="str">
        <f>VLOOKUP(Form_Responses[[#This Row],[Nombre Técnico]],'masa de trabajo'!$B:$E,3,0)</f>
        <v>-</v>
      </c>
      <c r="AJ38" s="12" t="str">
        <f>VLOOKUP(Form_Responses[[#This Row],[Nombre Técnico]],'masa de trabajo'!$B:$E,4,0)</f>
        <v>-</v>
      </c>
    </row>
    <row r="39" spans="1:36" ht="15.75" customHeight="1" x14ac:dyDescent="0.25">
      <c r="A39" s="1">
        <v>46271.955678379629</v>
      </c>
      <c r="B39" s="10">
        <v>7</v>
      </c>
      <c r="C39" s="3" t="s">
        <v>347</v>
      </c>
      <c r="D39" s="3" t="s">
        <v>348</v>
      </c>
      <c r="E39" s="3" t="s">
        <v>17</v>
      </c>
      <c r="F39" s="3" t="s">
        <v>18</v>
      </c>
      <c r="G39" s="3" t="s">
        <v>18</v>
      </c>
      <c r="I39" s="3" t="s">
        <v>19</v>
      </c>
      <c r="J39" s="3" t="s">
        <v>41</v>
      </c>
      <c r="L39" s="3" t="s">
        <v>349</v>
      </c>
      <c r="N39" s="3" t="s">
        <v>23</v>
      </c>
      <c r="P39" s="3">
        <v>1</v>
      </c>
      <c r="Q39" s="3" t="s">
        <v>23</v>
      </c>
      <c r="R39" s="3" t="s">
        <v>23</v>
      </c>
      <c r="S39" s="3" t="s">
        <v>350</v>
      </c>
      <c r="T39" s="3">
        <v>3</v>
      </c>
      <c r="U39" s="4" t="s">
        <v>351</v>
      </c>
      <c r="V39" s="4" t="s">
        <v>352</v>
      </c>
      <c r="W39" s="4" t="s">
        <v>353</v>
      </c>
      <c r="X39" s="4" t="s">
        <v>354</v>
      </c>
      <c r="Y39" s="3" t="s">
        <v>30</v>
      </c>
      <c r="Z39" s="3" t="s">
        <v>72</v>
      </c>
      <c r="AA39" s="3">
        <v>5</v>
      </c>
      <c r="AB39" s="3" t="s">
        <v>355</v>
      </c>
      <c r="AC39" s="3" t="s">
        <v>23</v>
      </c>
      <c r="AD39" s="3" t="s">
        <v>23</v>
      </c>
      <c r="AE39" s="3" t="s">
        <v>23</v>
      </c>
      <c r="AF39" s="3" t="s">
        <v>23</v>
      </c>
      <c r="AH39" s="15" t="str">
        <f>IFERROR(VLOOKUP(Form_Responses[[#This Row],[Nombre Técnico]],'masa de trabajo'!$B:$C,2,0),"")</f>
        <v>-</v>
      </c>
      <c r="AI39" s="12" t="str">
        <f>VLOOKUP(Form_Responses[[#This Row],[Nombre Técnico]],'masa de trabajo'!$B:$E,3,0)</f>
        <v>-</v>
      </c>
      <c r="AJ39" s="12" t="str">
        <f>VLOOKUP(Form_Responses[[#This Row],[Nombre Técnico]],'masa de trabajo'!$B:$E,4,0)</f>
        <v>-</v>
      </c>
    </row>
    <row r="40" spans="1:36" ht="15.75" customHeight="1" x14ac:dyDescent="0.25">
      <c r="A40" s="1">
        <v>46271.963903287033</v>
      </c>
      <c r="B40" s="10">
        <v>8</v>
      </c>
      <c r="C40" s="3" t="s">
        <v>356</v>
      </c>
      <c r="D40" s="3" t="s">
        <v>157</v>
      </c>
      <c r="E40" s="3" t="s">
        <v>17</v>
      </c>
      <c r="F40" s="3" t="s">
        <v>18</v>
      </c>
      <c r="G40" s="3" t="s">
        <v>18</v>
      </c>
      <c r="I40" s="3" t="s">
        <v>19</v>
      </c>
      <c r="J40" s="3" t="s">
        <v>41</v>
      </c>
      <c r="L40" s="3" t="s">
        <v>357</v>
      </c>
      <c r="N40" s="3" t="s">
        <v>23</v>
      </c>
      <c r="Q40" s="3" t="s">
        <v>23</v>
      </c>
      <c r="R40" s="3" t="s">
        <v>23</v>
      </c>
      <c r="S40" s="3" t="s">
        <v>159</v>
      </c>
      <c r="T40" s="3">
        <v>4</v>
      </c>
      <c r="U40" s="4" t="s">
        <v>358</v>
      </c>
      <c r="V40" s="4" t="s">
        <v>359</v>
      </c>
      <c r="W40" s="4" t="s">
        <v>360</v>
      </c>
      <c r="X40" s="4" t="s">
        <v>361</v>
      </c>
      <c r="Y40" s="3" t="s">
        <v>30</v>
      </c>
      <c r="Z40" s="3" t="s">
        <v>30</v>
      </c>
      <c r="AA40" s="3">
        <v>8</v>
      </c>
      <c r="AB40" s="3" t="s">
        <v>362</v>
      </c>
      <c r="AC40" s="3" t="s">
        <v>23</v>
      </c>
      <c r="AD40" s="3" t="s">
        <v>23</v>
      </c>
      <c r="AE40" s="3" t="s">
        <v>21</v>
      </c>
      <c r="AF40" s="3" t="s">
        <v>23</v>
      </c>
      <c r="AG40" s="3" t="s">
        <v>21</v>
      </c>
      <c r="AH40" s="15" t="str">
        <f>IFERROR(VLOOKUP(Form_Responses[[#This Row],[Nombre Técnico]],'masa de trabajo'!$B:$C,2,0),"")</f>
        <v>-</v>
      </c>
      <c r="AI40" s="12" t="str">
        <f>VLOOKUP(Form_Responses[[#This Row],[Nombre Técnico]],'masa de trabajo'!$B:$E,3,0)</f>
        <v>-</v>
      </c>
      <c r="AJ40" s="12" t="str">
        <f>VLOOKUP(Form_Responses[[#This Row],[Nombre Técnico]],'masa de trabajo'!$B:$E,4,0)</f>
        <v>-</v>
      </c>
    </row>
    <row r="41" spans="1:36" ht="15.75" customHeight="1" x14ac:dyDescent="0.25">
      <c r="A41" s="1">
        <v>46272.725015509262</v>
      </c>
      <c r="B41" s="10">
        <v>9</v>
      </c>
      <c r="C41" s="3" t="s">
        <v>363</v>
      </c>
      <c r="D41" s="3" t="s">
        <v>364</v>
      </c>
      <c r="E41" s="3" t="s">
        <v>53</v>
      </c>
      <c r="F41" s="3" t="s">
        <v>18</v>
      </c>
      <c r="G41" s="3" t="s">
        <v>18</v>
      </c>
      <c r="I41" s="3" t="s">
        <v>19</v>
      </c>
      <c r="J41" s="3" t="s">
        <v>41</v>
      </c>
      <c r="K41" s="3" t="s">
        <v>23</v>
      </c>
      <c r="L41" s="3" t="s">
        <v>365</v>
      </c>
      <c r="M41" s="3" t="s">
        <v>23</v>
      </c>
      <c r="N41" s="3" t="s">
        <v>21</v>
      </c>
      <c r="Q41" s="3" t="s">
        <v>23</v>
      </c>
      <c r="R41" s="3" t="s">
        <v>23</v>
      </c>
      <c r="T41" s="3">
        <v>4</v>
      </c>
      <c r="U41" s="4" t="s">
        <v>366</v>
      </c>
      <c r="V41" s="4" t="s">
        <v>367</v>
      </c>
      <c r="W41" s="4" t="s">
        <v>368</v>
      </c>
      <c r="X41" s="4" t="s">
        <v>369</v>
      </c>
      <c r="Y41" s="3" t="s">
        <v>30</v>
      </c>
      <c r="Z41" s="3" t="s">
        <v>30</v>
      </c>
      <c r="AA41" s="3">
        <v>9</v>
      </c>
      <c r="AB41" s="3" t="s">
        <v>291</v>
      </c>
      <c r="AC41" s="3" t="s">
        <v>23</v>
      </c>
      <c r="AD41" s="3" t="s">
        <v>23</v>
      </c>
      <c r="AE41" s="3" t="s">
        <v>21</v>
      </c>
      <c r="AF41" s="3" t="s">
        <v>23</v>
      </c>
      <c r="AG41" s="3" t="s">
        <v>21</v>
      </c>
      <c r="AH41" s="15" t="str">
        <f>IFERROR(VLOOKUP(Form_Responses[[#This Row],[Nombre Técnico]],'masa de trabajo'!$B:$C,2,0),"")</f>
        <v>-</v>
      </c>
      <c r="AI41" s="12" t="str">
        <f>VLOOKUP(Form_Responses[[#This Row],[Nombre Técnico]],'masa de trabajo'!$B:$E,3,0)</f>
        <v>-</v>
      </c>
      <c r="AJ41" s="12" t="str">
        <f>VLOOKUP(Form_Responses[[#This Row],[Nombre Técnico]],'masa de trabajo'!$B:$E,4,0)</f>
        <v>-</v>
      </c>
    </row>
    <row r="42" spans="1:36" ht="15.75" customHeight="1" x14ac:dyDescent="0.25">
      <c r="A42" s="1">
        <v>46273.385448194444</v>
      </c>
      <c r="B42" s="10">
        <v>8</v>
      </c>
      <c r="C42" s="3" t="s">
        <v>370</v>
      </c>
      <c r="D42" s="3" t="s">
        <v>143</v>
      </c>
      <c r="E42" s="3" t="s">
        <v>53</v>
      </c>
      <c r="F42" s="3" t="s">
        <v>18</v>
      </c>
      <c r="G42" s="3" t="s">
        <v>18</v>
      </c>
      <c r="I42" s="3" t="s">
        <v>19</v>
      </c>
      <c r="J42" s="3" t="s">
        <v>20</v>
      </c>
      <c r="K42" s="3" t="s">
        <v>23</v>
      </c>
      <c r="L42" s="3" t="s">
        <v>371</v>
      </c>
      <c r="M42" s="3" t="s">
        <v>23</v>
      </c>
      <c r="N42" s="3" t="s">
        <v>21</v>
      </c>
      <c r="Q42" s="3" t="s">
        <v>23</v>
      </c>
      <c r="R42" s="3" t="s">
        <v>23</v>
      </c>
      <c r="S42" s="3" t="s">
        <v>372</v>
      </c>
      <c r="T42" s="3">
        <v>4</v>
      </c>
      <c r="U42" s="4" t="s">
        <v>373</v>
      </c>
      <c r="V42" s="4" t="s">
        <v>374</v>
      </c>
      <c r="W42" s="4" t="s">
        <v>375</v>
      </c>
      <c r="X42" s="4" t="s">
        <v>376</v>
      </c>
      <c r="Y42" s="3" t="s">
        <v>30</v>
      </c>
      <c r="Z42" s="3" t="s">
        <v>30</v>
      </c>
      <c r="AA42" s="3">
        <v>9</v>
      </c>
      <c r="AB42" s="3" t="s">
        <v>377</v>
      </c>
      <c r="AC42" s="3" t="s">
        <v>77</v>
      </c>
      <c r="AD42" s="3" t="s">
        <v>23</v>
      </c>
      <c r="AE42" s="3" t="s">
        <v>21</v>
      </c>
      <c r="AF42" s="3" t="s">
        <v>23</v>
      </c>
      <c r="AG42" s="3" t="s">
        <v>21</v>
      </c>
      <c r="AH42" s="15" t="str">
        <f>IFERROR(VLOOKUP(Form_Responses[[#This Row],[Nombre Técnico]],'masa de trabajo'!$B:$C,2,0),"")</f>
        <v>-</v>
      </c>
      <c r="AI42" s="12" t="str">
        <f>VLOOKUP(Form_Responses[[#This Row],[Nombre Técnico]],'masa de trabajo'!$B:$E,3,0)</f>
        <v>-</v>
      </c>
      <c r="AJ42" s="12" t="str">
        <f>VLOOKUP(Form_Responses[[#This Row],[Nombre Técnico]],'masa de trabajo'!$B:$E,4,0)</f>
        <v>-</v>
      </c>
    </row>
  </sheetData>
  <phoneticPr fontId="5" type="noConversion"/>
  <hyperlinks>
    <hyperlink ref="U2" r:id="rId1" xr:uid="{FA24DAC5-79BF-40B8-902A-663247C9BA62}"/>
    <hyperlink ref="V2" r:id="rId2" xr:uid="{DD93F2AC-48FD-46F6-8BBB-2F8BA3BB18F3}"/>
    <hyperlink ref="W2" r:id="rId3" xr:uid="{AA604D2E-5BF0-4E75-BE39-AEF7C6FEC810}"/>
    <hyperlink ref="X2" r:id="rId4" xr:uid="{EA732884-C5B8-4CD4-BB2C-3E68D3864E0E}"/>
    <hyperlink ref="U3" r:id="rId5" xr:uid="{23144703-70A5-4665-AFF0-D05777959C8C}"/>
    <hyperlink ref="V3" r:id="rId6" xr:uid="{27EF0068-712C-48C6-9085-1B1565D45379}"/>
    <hyperlink ref="X3" r:id="rId7" xr:uid="{4A3E215B-531E-4DA4-ACF5-75FF84815439}"/>
    <hyperlink ref="U4" r:id="rId8" xr:uid="{38B3022E-01F4-4537-BEB7-991B92CB1C1D}"/>
    <hyperlink ref="V4" r:id="rId9" xr:uid="{6FA972DC-3F17-431A-9DDE-DAF40A6F3B17}"/>
    <hyperlink ref="X4" r:id="rId10" xr:uid="{2EA66452-4F78-4F32-8C32-4015CE383EDB}"/>
    <hyperlink ref="U5" r:id="rId11" xr:uid="{9255DEB3-7859-4530-8D8E-7FFFDE88F51C}"/>
    <hyperlink ref="V5" r:id="rId12" xr:uid="{8EA45CC4-FB01-4319-8FE7-BBE3A8F5ACFF}"/>
    <hyperlink ref="W5" r:id="rId13" xr:uid="{8828C835-27D2-4899-98BF-844F161467F4}"/>
    <hyperlink ref="X5" r:id="rId14" xr:uid="{67914B03-A309-46B3-8F69-6DCFECE48319}"/>
    <hyperlink ref="U6" r:id="rId15" xr:uid="{B6EB4B69-D657-4339-A264-9EBBC0966954}"/>
    <hyperlink ref="V6" r:id="rId16" xr:uid="{545B04D9-363E-4BEE-BEE7-E294C306C587}"/>
    <hyperlink ref="W6" r:id="rId17" xr:uid="{DD5ACD82-0BE8-404D-8709-61C44254B672}"/>
    <hyperlink ref="X6" r:id="rId18" xr:uid="{D2C80122-7971-4A04-85B5-86DAD4F32F4D}"/>
    <hyperlink ref="U7" r:id="rId19" xr:uid="{E48C3B82-93E9-4F4F-B81F-5D69013A0A4B}"/>
    <hyperlink ref="V7" r:id="rId20" xr:uid="{53930DF6-9755-4EB3-AA78-D12B96411C9F}"/>
    <hyperlink ref="X7" r:id="rId21" xr:uid="{9F6F9AA2-290B-4769-AEBA-59B4975A9480}"/>
    <hyperlink ref="U8" r:id="rId22" xr:uid="{D569153D-34BA-4044-9121-03137FB37226}"/>
    <hyperlink ref="V8" r:id="rId23" xr:uid="{A41062F8-ED38-4792-B7FF-AC2ED6A66A48}"/>
    <hyperlink ref="W8" r:id="rId24" xr:uid="{65A85253-311B-4115-BE52-E22AF8A85334}"/>
    <hyperlink ref="X8" r:id="rId25" xr:uid="{363DB1A0-7366-4EC3-B130-09ED4CC8998C}"/>
    <hyperlink ref="U9" r:id="rId26" xr:uid="{9F945503-3DA0-4D11-8387-97D7B885CB95}"/>
    <hyperlink ref="V9" r:id="rId27" xr:uid="{595A77F0-31CC-43C4-BA44-12A5C34C061E}"/>
    <hyperlink ref="W9" r:id="rId28" xr:uid="{FA2E1F29-F5F1-407D-B292-1B892BA4B7A7}"/>
    <hyperlink ref="X9" r:id="rId29" xr:uid="{657D2C4D-323C-4020-A8C3-4A87BBD2B876}"/>
    <hyperlink ref="U10" r:id="rId30" xr:uid="{A4144407-ADF2-4062-B84B-248E1D9C19A7}"/>
    <hyperlink ref="V10" r:id="rId31" xr:uid="{09059C5A-F53C-4FFE-BF0A-4509B126220C}"/>
    <hyperlink ref="X10" r:id="rId32" xr:uid="{79832B2B-EC47-4B7A-8A99-B482708AB98B}"/>
    <hyperlink ref="U11" r:id="rId33" xr:uid="{CD95EBE8-D9F9-4163-A2D3-0D481CB4C279}"/>
    <hyperlink ref="V11" r:id="rId34" xr:uid="{AE994840-B38C-4CDA-875D-E7B0B9555EDA}"/>
    <hyperlink ref="W11" r:id="rId35" xr:uid="{86C9D3AB-424B-4F27-8F98-975E01E97D2B}"/>
    <hyperlink ref="X11" r:id="rId36" xr:uid="{CB7FC036-8423-4D38-94C6-FBD696E27007}"/>
    <hyperlink ref="U13" r:id="rId37" xr:uid="{64AEFB8E-F31F-4150-A821-41EC0913801D}"/>
    <hyperlink ref="V13" r:id="rId38" xr:uid="{4AF3A949-39F0-4B39-AF73-FE7109C4AE77}"/>
    <hyperlink ref="W13" r:id="rId39" xr:uid="{7D19E6A5-65FD-42D3-A9C4-59B3C064189A}"/>
    <hyperlink ref="X13" r:id="rId40" xr:uid="{0EFB356F-1ED5-48AA-BCE9-E05EE5223341}"/>
    <hyperlink ref="W14" r:id="rId41" xr:uid="{DD6E1835-08D7-4CAE-80E9-6B34BBE13CCE}"/>
    <hyperlink ref="X14" r:id="rId42" xr:uid="{58D4B17F-1574-4D9B-BC99-4B7260F47067}"/>
    <hyperlink ref="U15" r:id="rId43" xr:uid="{55FD7077-29BD-47C8-92F2-5D1D32F3DCA6}"/>
    <hyperlink ref="V15" r:id="rId44" xr:uid="{4C238566-9A5B-4E2F-9F46-09527C656D2D}"/>
    <hyperlink ref="X15" r:id="rId45" xr:uid="{40D214E6-F97F-46A1-A955-437A48A0F707}"/>
    <hyperlink ref="U16" r:id="rId46" xr:uid="{91234A49-85DF-4935-8D8A-0F177DC67610}"/>
    <hyperlink ref="V16" r:id="rId47" xr:uid="{DBBAF817-6C8A-419B-80AA-E17E241A1408}"/>
    <hyperlink ref="W16" r:id="rId48" xr:uid="{E28BE88C-B6BF-46DC-B03D-208D9FC788B2}"/>
    <hyperlink ref="X16" r:id="rId49" xr:uid="{7F7A18BA-A257-47EF-AB69-FBB5766AEC89}"/>
    <hyperlink ref="U17" r:id="rId50" xr:uid="{1997C5CD-D08B-4DB6-A3B6-6775002CD2A6}"/>
    <hyperlink ref="V17" r:id="rId51" xr:uid="{FB21800C-F69C-4E99-9DC9-7569BD69B062}"/>
    <hyperlink ref="X17" r:id="rId52" xr:uid="{4878BEF9-8862-4B7E-82DC-5EF40D3097CF}"/>
    <hyperlink ref="U18" r:id="rId53" xr:uid="{8584E850-F45E-4910-B337-E0CFAE688259}"/>
    <hyperlink ref="V18" r:id="rId54" xr:uid="{4A7E849C-725F-417D-8668-F7641682EDB6}"/>
    <hyperlink ref="W18" r:id="rId55" xr:uid="{DC353ED2-2BDD-4ED7-B0C8-89C00AC7940A}"/>
    <hyperlink ref="X18" r:id="rId56" xr:uid="{F8C0C4B2-30D0-453A-9319-1FB2B901CC93}"/>
    <hyperlink ref="U19" r:id="rId57" xr:uid="{8257713B-E450-4FBD-A67C-CD37110AAF30}"/>
    <hyperlink ref="V19" r:id="rId58" xr:uid="{BF280434-A5DD-4D32-9F7B-28772A8DEEEB}"/>
    <hyperlink ref="W19" r:id="rId59" xr:uid="{8D180FD4-5EDF-4A44-B236-F7A7BFF2382D}"/>
    <hyperlink ref="X19" r:id="rId60" xr:uid="{7CD6BE83-BDE8-4BFE-A0FA-F8261F274D16}"/>
    <hyperlink ref="U20" r:id="rId61" xr:uid="{B322976D-4FAE-4996-B6FD-7B4A90318FF6}"/>
    <hyperlink ref="V20" r:id="rId62" xr:uid="{109E6270-75C4-49E9-B092-FD479EF061ED}"/>
    <hyperlink ref="W20" r:id="rId63" xr:uid="{3045C563-0F0F-4401-BAFE-ED8E447DFE01}"/>
    <hyperlink ref="X20" r:id="rId64" xr:uid="{86D87D32-CB47-448F-ACA2-D138493ADD23}"/>
    <hyperlink ref="U21" r:id="rId65" xr:uid="{26237F25-40CF-45CA-BFDD-6490B70F493F}"/>
    <hyperlink ref="V21" r:id="rId66" xr:uid="{9B85A5FD-8F85-43B4-A146-6E35581AEC7E}"/>
    <hyperlink ref="X21" r:id="rId67" xr:uid="{98F1A1CE-3684-4850-955E-51DF8D0E88D7}"/>
    <hyperlink ref="U22" r:id="rId68" xr:uid="{BDC4F305-7211-4C35-82EF-6D85BCAFD484}"/>
    <hyperlink ref="V22" r:id="rId69" xr:uid="{75953646-217B-4244-B660-638143FD1A48}"/>
    <hyperlink ref="W22" r:id="rId70" xr:uid="{B94AF63C-273F-4FB8-B61F-2BDD7E539214}"/>
    <hyperlink ref="X22" r:id="rId71" xr:uid="{3B0BD0A0-5BBC-4E86-AF9B-ADCCCE05BFD6}"/>
    <hyperlink ref="U23" r:id="rId72" xr:uid="{3218345E-0CA2-4C1A-B71C-F150AA9C8C0A}"/>
    <hyperlink ref="V23" r:id="rId73" xr:uid="{7CFA2044-EDBC-4A52-A3FF-56A1F41DA994}"/>
    <hyperlink ref="W23" r:id="rId74" xr:uid="{0ACF44D4-56DF-47D9-8657-F33CA555A0D1}"/>
    <hyperlink ref="X23" r:id="rId75" xr:uid="{EAB0D2B8-B3EF-4EB7-AC07-B39FA717CB81}"/>
    <hyperlink ref="U24" r:id="rId76" xr:uid="{F50328CA-A88E-495F-A204-BD693B904478}"/>
    <hyperlink ref="V24" r:id="rId77" xr:uid="{037BC719-702D-42E4-82C1-3FD547E8F326}"/>
    <hyperlink ref="W24" r:id="rId78" xr:uid="{C5CB90E3-1F27-46C5-94D3-8F793B56474E}"/>
    <hyperlink ref="X24" r:id="rId79" xr:uid="{4FDEB653-6C2C-4B37-B2FC-E65AD2DA7FA5}"/>
    <hyperlink ref="U25" r:id="rId80" xr:uid="{54AA03FA-085D-407B-A871-BE279FB67E02}"/>
    <hyperlink ref="V25" r:id="rId81" xr:uid="{E65C2086-0E78-4A72-AFA2-C0DC990D42DD}"/>
    <hyperlink ref="X25" r:id="rId82" xr:uid="{E96B1C75-C7D4-4CD4-B006-1D1E90D0F35C}"/>
    <hyperlink ref="U26" r:id="rId83" xr:uid="{12B8A92F-2C9C-4810-A8E0-055E5F29DFAD}"/>
    <hyperlink ref="V26" r:id="rId84" xr:uid="{8844C06B-79CB-486C-A38B-6D17C9B72DF3}"/>
    <hyperlink ref="W26" r:id="rId85" xr:uid="{A1CBDC3E-EE0A-4834-8AFC-C2FA6DD94405}"/>
    <hyperlink ref="U27" r:id="rId86" xr:uid="{5DFE2C18-EF7C-44D9-B563-50F4791E3872}"/>
    <hyperlink ref="V27" r:id="rId87" xr:uid="{F960EC81-247A-4083-8426-0C17D6C039F9}"/>
    <hyperlink ref="W27" r:id="rId88" xr:uid="{1CE802F8-CD85-4342-92FB-1AB8F1FA4ED1}"/>
    <hyperlink ref="X27" r:id="rId89" xr:uid="{22233F05-D9D9-44FE-9739-346F1691E627}"/>
    <hyperlink ref="U28" r:id="rId90" xr:uid="{BEFEA8A1-04FA-420E-A6F9-6BBDCD8F22DE}"/>
    <hyperlink ref="V28" r:id="rId91" xr:uid="{ADDF831D-843A-487B-AE33-691AEF23C31B}"/>
    <hyperlink ref="W28" r:id="rId92" xr:uid="{1D311652-D068-4667-A041-F5F67193A052}"/>
    <hyperlink ref="X28" r:id="rId93" xr:uid="{EE6B16F5-59C0-4F60-840F-6326AA811E78}"/>
    <hyperlink ref="U29" r:id="rId94" xr:uid="{C0408603-935C-47B8-9F89-96D3416668E5}"/>
    <hyperlink ref="V29" r:id="rId95" xr:uid="{1570869D-9315-4788-8392-F977246F2C23}"/>
    <hyperlink ref="W29" r:id="rId96" xr:uid="{58D90039-598E-4FE0-B213-102336B3DE41}"/>
    <hyperlink ref="X29" r:id="rId97" xr:uid="{F8168A8B-4ECF-4A6A-BD38-D4FF28B1475A}"/>
    <hyperlink ref="U30" r:id="rId98" xr:uid="{C5A42525-7F5E-40AE-BD5E-EF08B0251524}"/>
    <hyperlink ref="V30" r:id="rId99" xr:uid="{FF13EF06-C83E-4C3F-AD61-BA51930E47CC}"/>
    <hyperlink ref="W30" r:id="rId100" xr:uid="{FB82ED5C-54EB-4D98-B58D-8032A0956AAF}"/>
    <hyperlink ref="X30" r:id="rId101" xr:uid="{711E0205-CBA2-44B8-83EB-538A7791D3DF}"/>
    <hyperlink ref="U31" r:id="rId102" xr:uid="{33B9F123-331A-43B4-B2FB-33B25C833C00}"/>
    <hyperlink ref="V31" r:id="rId103" xr:uid="{9B7455C1-5AF0-4B3C-A10F-DB47E420E52B}"/>
    <hyperlink ref="W31" r:id="rId104" xr:uid="{1CD4EF3F-38E1-45C3-A1F2-F72254CCAF0A}"/>
    <hyperlink ref="X31" r:id="rId105" xr:uid="{D7DDDAAE-4D26-4153-9C9A-A48638D508CF}"/>
    <hyperlink ref="U32" r:id="rId106" xr:uid="{6EA49552-503A-4306-B5E4-F0E3FC7372A2}"/>
    <hyperlink ref="V32" r:id="rId107" xr:uid="{3C7FCDC3-500F-4281-A912-5083B181EFF2}"/>
    <hyperlink ref="W32" r:id="rId108" xr:uid="{CEC20A54-C47B-4537-82DB-BB8E9D0BB108}"/>
    <hyperlink ref="X32" r:id="rId109" xr:uid="{6DBD43B8-F6EE-4935-95BC-3AA34DB7D8FF}"/>
    <hyperlink ref="U33" r:id="rId110" xr:uid="{A83142ED-5ECA-41ED-A6E4-914230AE0DA4}"/>
    <hyperlink ref="V33" r:id="rId111" xr:uid="{9BF8FFEC-1E1C-4A5E-8749-6355A12133EF}"/>
    <hyperlink ref="W33" r:id="rId112" xr:uid="{7AA812E7-2037-43CE-99CF-76752415845A}"/>
    <hyperlink ref="X33" r:id="rId113" xr:uid="{AC1988A9-50C8-405F-B817-1284C5321B12}"/>
    <hyperlink ref="U34" r:id="rId114" xr:uid="{EAD56A16-6EBD-4E5B-9BBA-8888161FB3A7}"/>
    <hyperlink ref="V34" r:id="rId115" xr:uid="{AFF20957-3628-4233-86F3-1C488D9433D3}"/>
    <hyperlink ref="W34" r:id="rId116" xr:uid="{C47C0951-C8EF-4AC8-AD40-CCCF002C0122}"/>
    <hyperlink ref="X34" r:id="rId117" xr:uid="{7F712A21-C3AA-4117-ACD9-E4B6ADFB7F9E}"/>
    <hyperlink ref="U35" r:id="rId118" xr:uid="{CD23EE85-A779-455D-8638-6BCC56C86FD7}"/>
    <hyperlink ref="V35" r:id="rId119" xr:uid="{05DAC071-F733-4CAC-BEFE-8967A7C9EA45}"/>
    <hyperlink ref="W35" r:id="rId120" xr:uid="{43564A07-A550-4696-9E05-96D3E188BA1B}"/>
    <hyperlink ref="X35" r:id="rId121" xr:uid="{E2FCC100-5B83-4658-9B67-189689023395}"/>
    <hyperlink ref="U36" r:id="rId122" xr:uid="{72EC7CD4-73CA-49AF-9265-5FB7429B0F71}"/>
    <hyperlink ref="V36" r:id="rId123" xr:uid="{96CBFD70-D68D-4C6B-A0B0-FFB54164CDA4}"/>
    <hyperlink ref="X36" r:id="rId124" xr:uid="{093A8624-8A2A-4C70-82EF-8EF3A52EBAE9}"/>
    <hyperlink ref="U37" r:id="rId125" xr:uid="{2860B91F-8711-4761-A9F9-8320917376B6}"/>
    <hyperlink ref="V37" r:id="rId126" xr:uid="{8884C231-C6CA-4A7D-BB09-A6256276EC3F}"/>
    <hyperlink ref="X37" r:id="rId127" xr:uid="{85D582FF-99B8-4424-B14A-FE501E51AC19}"/>
    <hyperlink ref="U38" r:id="rId128" xr:uid="{15F676B5-A6AA-4A87-ACB8-BDD7777A1691}"/>
    <hyperlink ref="V38" r:id="rId129" xr:uid="{705AAF17-9235-4903-AE58-79DCDD2D6645}"/>
    <hyperlink ref="X38" r:id="rId130" xr:uid="{BA4F1031-7F1D-4A44-BCEE-D9AA369BC5A4}"/>
    <hyperlink ref="U39" r:id="rId131" xr:uid="{1B8E6436-D951-4D63-A15F-140B3B1B9A8D}"/>
    <hyperlink ref="V39" r:id="rId132" xr:uid="{F17EA83F-A1F5-4EED-8DA3-464E01A5D1F4}"/>
    <hyperlink ref="W39" r:id="rId133" xr:uid="{1C4A90BB-95CE-4CEB-A324-B55C42C17D0E}"/>
    <hyperlink ref="X39" r:id="rId134" xr:uid="{D1A60ED8-5D46-44F7-AF69-D08F46715F88}"/>
    <hyperlink ref="U40" r:id="rId135" xr:uid="{A27DC0EA-D8EF-4C21-8FA9-FD7CF4731146}"/>
    <hyperlink ref="V40" r:id="rId136" xr:uid="{8FA0DD77-EC99-4A10-BB3D-09D98686A0BD}"/>
    <hyperlink ref="W40" r:id="rId137" xr:uid="{748B80ED-6E18-440D-90FC-D087AC9DEE04}"/>
    <hyperlink ref="X40" r:id="rId138" xr:uid="{068737BE-E333-4A7E-83BC-24AA927EF639}"/>
    <hyperlink ref="U41" r:id="rId139" xr:uid="{0C039852-8D48-445E-95D2-492A8138C514}"/>
    <hyperlink ref="V41" r:id="rId140" xr:uid="{A93B4204-B221-44A8-928D-B49255EE44EA}"/>
    <hyperlink ref="W41" r:id="rId141" xr:uid="{30B6D75F-E994-41D8-88BF-21CC983A53BD}"/>
    <hyperlink ref="X41" r:id="rId142" xr:uid="{9220ECE7-689E-4288-AF0A-283C3B9B6CE4}"/>
    <hyperlink ref="U42" r:id="rId143" xr:uid="{4FEC783E-5B0C-47C1-B29F-2239F679B886}"/>
    <hyperlink ref="V42" r:id="rId144" xr:uid="{FCD28C38-DDC2-4317-9B4A-61B1B6667A93}"/>
    <hyperlink ref="W42" r:id="rId145" xr:uid="{7EEE5836-54D7-44D4-8C7F-8040A05FE654}"/>
    <hyperlink ref="X42" r:id="rId146" xr:uid="{6C084EF1-018F-4704-937B-DEB5E178B5BF}"/>
  </hyperlinks>
  <pageMargins left="0.7" right="0.7" top="0.75" bottom="0.75" header="0.3" footer="0.3"/>
  <tableParts count="1">
    <tablePart r:id="rId147"/>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B86AD5-214A-4E29-8C3C-D28012B13A5F}">
  <dimension ref="B1:E39"/>
  <sheetViews>
    <sheetView topLeftCell="A13" workbookViewId="0">
      <selection activeCell="E40" sqref="E40"/>
    </sheetView>
  </sheetViews>
  <sheetFormatPr baseColWidth="10" defaultRowHeight="13.2" x14ac:dyDescent="0.25"/>
  <cols>
    <col min="2" max="2" width="39" bestFit="1" customWidth="1"/>
    <col min="3" max="3" width="34" style="7" bestFit="1" customWidth="1"/>
    <col min="4" max="4" width="32.5546875" style="7" bestFit="1" customWidth="1"/>
    <col min="5" max="5" width="67.44140625" bestFit="1" customWidth="1"/>
  </cols>
  <sheetData>
    <row r="1" spans="2:5" x14ac:dyDescent="0.25">
      <c r="B1" s="9" t="s">
        <v>3</v>
      </c>
      <c r="C1" s="9" t="s">
        <v>48</v>
      </c>
      <c r="D1" s="9" t="s">
        <v>49</v>
      </c>
      <c r="E1" s="9" t="s">
        <v>50</v>
      </c>
    </row>
    <row r="2" spans="2:5" x14ac:dyDescent="0.25">
      <c r="B2" s="6" t="s">
        <v>101</v>
      </c>
      <c r="C2" s="7" t="s">
        <v>23</v>
      </c>
      <c r="D2" s="7" t="s">
        <v>23</v>
      </c>
      <c r="E2" t="s">
        <v>237</v>
      </c>
    </row>
    <row r="3" spans="2:5" x14ac:dyDescent="0.25">
      <c r="B3" s="8" t="s">
        <v>109</v>
      </c>
      <c r="C3" s="7" t="s">
        <v>237</v>
      </c>
      <c r="D3" s="7" t="s">
        <v>237</v>
      </c>
      <c r="E3" t="s">
        <v>237</v>
      </c>
    </row>
    <row r="4" spans="2:5" x14ac:dyDescent="0.25">
      <c r="B4" s="6" t="s">
        <v>127</v>
      </c>
      <c r="C4" s="7" t="s">
        <v>23</v>
      </c>
      <c r="D4" s="7" t="s">
        <v>23</v>
      </c>
      <c r="E4" t="s">
        <v>237</v>
      </c>
    </row>
    <row r="5" spans="2:5" x14ac:dyDescent="0.25">
      <c r="B5" s="8" t="s">
        <v>143</v>
      </c>
      <c r="C5" s="7" t="s">
        <v>237</v>
      </c>
      <c r="D5" s="7" t="s">
        <v>237</v>
      </c>
      <c r="E5" t="s">
        <v>237</v>
      </c>
    </row>
    <row r="6" spans="2:5" x14ac:dyDescent="0.25">
      <c r="B6" s="6" t="s">
        <v>143</v>
      </c>
      <c r="C6" s="7" t="s">
        <v>237</v>
      </c>
      <c r="D6" s="7" t="s">
        <v>237</v>
      </c>
      <c r="E6" t="s">
        <v>237</v>
      </c>
    </row>
    <row r="7" spans="2:5" x14ac:dyDescent="0.25">
      <c r="B7" s="8" t="s">
        <v>157</v>
      </c>
      <c r="C7" s="7" t="s">
        <v>237</v>
      </c>
      <c r="D7" s="7" t="s">
        <v>237</v>
      </c>
      <c r="E7" t="s">
        <v>237</v>
      </c>
    </row>
    <row r="8" spans="2:5" x14ac:dyDescent="0.25">
      <c r="B8" s="6" t="s">
        <v>165</v>
      </c>
      <c r="C8" s="7" t="s">
        <v>237</v>
      </c>
      <c r="D8" s="7" t="s">
        <v>237</v>
      </c>
      <c r="E8" t="s">
        <v>237</v>
      </c>
    </row>
    <row r="9" spans="2:5" x14ac:dyDescent="0.25">
      <c r="B9" s="6" t="s">
        <v>143</v>
      </c>
      <c r="C9" s="7" t="s">
        <v>237</v>
      </c>
      <c r="D9" s="7" t="s">
        <v>237</v>
      </c>
      <c r="E9" t="s">
        <v>237</v>
      </c>
    </row>
    <row r="10" spans="2:5" x14ac:dyDescent="0.25">
      <c r="B10" s="6" t="s">
        <v>101</v>
      </c>
      <c r="C10" s="7" t="s">
        <v>23</v>
      </c>
      <c r="D10" s="7" t="s">
        <v>23</v>
      </c>
      <c r="E10" t="s">
        <v>237</v>
      </c>
    </row>
    <row r="11" spans="2:5" x14ac:dyDescent="0.25">
      <c r="B11" s="6" t="s">
        <v>221</v>
      </c>
      <c r="C11" s="7" t="s">
        <v>237</v>
      </c>
      <c r="D11" s="7" t="s">
        <v>237</v>
      </c>
      <c r="E11" t="s">
        <v>237</v>
      </c>
    </row>
    <row r="12" spans="2:5" x14ac:dyDescent="0.25">
      <c r="B12" s="6" t="s">
        <v>101</v>
      </c>
      <c r="C12" s="7" t="s">
        <v>237</v>
      </c>
      <c r="D12" s="7" t="s">
        <v>237</v>
      </c>
      <c r="E12" t="s">
        <v>237</v>
      </c>
    </row>
    <row r="13" spans="2:5" x14ac:dyDescent="0.25">
      <c r="B13" s="6" t="s">
        <v>340</v>
      </c>
      <c r="C13" s="7" t="s">
        <v>237</v>
      </c>
      <c r="D13" s="7" t="s">
        <v>237</v>
      </c>
      <c r="E13" t="s">
        <v>237</v>
      </c>
    </row>
    <row r="14" spans="2:5" x14ac:dyDescent="0.25">
      <c r="B14" s="8" t="s">
        <v>348</v>
      </c>
      <c r="C14" s="7" t="s">
        <v>237</v>
      </c>
      <c r="D14" s="7" t="s">
        <v>237</v>
      </c>
      <c r="E14" t="s">
        <v>237</v>
      </c>
    </row>
    <row r="15" spans="2:5" x14ac:dyDescent="0.25">
      <c r="B15" s="6" t="s">
        <v>157</v>
      </c>
      <c r="C15" s="7" t="s">
        <v>237</v>
      </c>
      <c r="D15" s="7" t="s">
        <v>237</v>
      </c>
      <c r="E15" t="s">
        <v>237</v>
      </c>
    </row>
    <row r="16" spans="2:5" x14ac:dyDescent="0.25">
      <c r="B16" s="8" t="s">
        <v>364</v>
      </c>
      <c r="C16" s="7" t="s">
        <v>237</v>
      </c>
      <c r="D16" s="7" t="s">
        <v>237</v>
      </c>
      <c r="E16" t="s">
        <v>237</v>
      </c>
    </row>
    <row r="17" spans="2:5" x14ac:dyDescent="0.25">
      <c r="B17" s="6" t="s">
        <v>143</v>
      </c>
      <c r="C17" s="7" t="s">
        <v>237</v>
      </c>
      <c r="D17" s="7" t="s">
        <v>237</v>
      </c>
      <c r="E17" t="s">
        <v>237</v>
      </c>
    </row>
    <row r="18" spans="2:5" x14ac:dyDescent="0.25">
      <c r="B18" s="6" t="s">
        <v>16</v>
      </c>
      <c r="C18" s="7" t="s">
        <v>23</v>
      </c>
      <c r="D18" s="7" t="s">
        <v>23</v>
      </c>
      <c r="E18" t="s">
        <v>237</v>
      </c>
    </row>
    <row r="19" spans="2:5" x14ac:dyDescent="0.25">
      <c r="B19" s="8" t="s">
        <v>33</v>
      </c>
      <c r="C19" s="7" t="s">
        <v>23</v>
      </c>
      <c r="D19" s="7" t="s">
        <v>23</v>
      </c>
      <c r="E19" t="s">
        <v>117</v>
      </c>
    </row>
    <row r="20" spans="2:5" x14ac:dyDescent="0.25">
      <c r="B20" s="6" t="s">
        <v>33</v>
      </c>
      <c r="C20" s="7" t="s">
        <v>23</v>
      </c>
      <c r="D20" s="7" t="s">
        <v>23</v>
      </c>
      <c r="E20" t="s">
        <v>117</v>
      </c>
    </row>
    <row r="21" spans="2:5" x14ac:dyDescent="0.25">
      <c r="B21" s="8" t="s">
        <v>52</v>
      </c>
      <c r="C21" s="7" t="s">
        <v>23</v>
      </c>
      <c r="D21" s="7" t="s">
        <v>237</v>
      </c>
      <c r="E21" t="s">
        <v>237</v>
      </c>
    </row>
    <row r="22" spans="2:5" x14ac:dyDescent="0.25">
      <c r="B22" s="6" t="s">
        <v>63</v>
      </c>
      <c r="C22" s="7" t="s">
        <v>23</v>
      </c>
      <c r="D22" s="7" t="s">
        <v>23</v>
      </c>
      <c r="E22" t="s">
        <v>237</v>
      </c>
    </row>
    <row r="23" spans="2:5" x14ac:dyDescent="0.25">
      <c r="B23" s="8" t="s">
        <v>75</v>
      </c>
      <c r="C23" s="7" t="s">
        <v>23</v>
      </c>
      <c r="D23" s="7" t="s">
        <v>237</v>
      </c>
      <c r="E23" t="s">
        <v>237</v>
      </c>
    </row>
    <row r="24" spans="2:5" x14ac:dyDescent="0.25">
      <c r="B24" s="6" t="s">
        <v>84</v>
      </c>
      <c r="C24" s="7" t="s">
        <v>23</v>
      </c>
      <c r="D24" s="7" t="s">
        <v>23</v>
      </c>
      <c r="E24" t="s">
        <v>237</v>
      </c>
    </row>
    <row r="25" spans="2:5" x14ac:dyDescent="0.25">
      <c r="B25" s="8" t="s">
        <v>52</v>
      </c>
      <c r="C25" s="7" t="s">
        <v>23</v>
      </c>
      <c r="D25" s="7" t="s">
        <v>237</v>
      </c>
      <c r="E25" t="s">
        <v>237</v>
      </c>
    </row>
    <row r="26" spans="2:5" x14ac:dyDescent="0.25">
      <c r="B26" s="8" t="s">
        <v>174</v>
      </c>
      <c r="C26" s="7" t="s">
        <v>23</v>
      </c>
      <c r="D26" s="7" t="s">
        <v>23</v>
      </c>
      <c r="E26" t="s">
        <v>237</v>
      </c>
    </row>
    <row r="27" spans="2:5" x14ac:dyDescent="0.25">
      <c r="B27" s="8" t="s">
        <v>63</v>
      </c>
      <c r="C27" s="7" t="s">
        <v>23</v>
      </c>
      <c r="D27" s="7" t="s">
        <v>237</v>
      </c>
      <c r="E27" t="s">
        <v>237</v>
      </c>
    </row>
    <row r="28" spans="2:5" x14ac:dyDescent="0.25">
      <c r="B28" s="8" t="s">
        <v>84</v>
      </c>
      <c r="C28" s="7" t="s">
        <v>23</v>
      </c>
      <c r="D28" s="7" t="s">
        <v>237</v>
      </c>
      <c r="E28" t="s">
        <v>237</v>
      </c>
    </row>
    <row r="29" spans="2:5" x14ac:dyDescent="0.25">
      <c r="B29" s="6" t="s">
        <v>63</v>
      </c>
      <c r="C29" s="7" t="s">
        <v>23</v>
      </c>
      <c r="D29" s="7" t="s">
        <v>237</v>
      </c>
      <c r="E29" t="s">
        <v>237</v>
      </c>
    </row>
    <row r="30" spans="2:5" x14ac:dyDescent="0.25">
      <c r="B30" s="8" t="s">
        <v>221</v>
      </c>
      <c r="C30" s="7" t="s">
        <v>23</v>
      </c>
      <c r="D30" s="7" t="s">
        <v>23</v>
      </c>
      <c r="E30" t="s">
        <v>237</v>
      </c>
    </row>
    <row r="31" spans="2:5" x14ac:dyDescent="0.25">
      <c r="B31" s="8" t="s">
        <v>75</v>
      </c>
      <c r="C31" s="7" t="s">
        <v>23</v>
      </c>
      <c r="D31" s="7" t="s">
        <v>237</v>
      </c>
      <c r="E31" t="s">
        <v>237</v>
      </c>
    </row>
    <row r="32" spans="2:5" x14ac:dyDescent="0.25">
      <c r="B32" s="6" t="s">
        <v>221</v>
      </c>
      <c r="C32" s="7" t="s">
        <v>23</v>
      </c>
      <c r="D32" s="7" t="s">
        <v>23</v>
      </c>
      <c r="E32" t="s">
        <v>237</v>
      </c>
    </row>
    <row r="33" spans="2:5" x14ac:dyDescent="0.25">
      <c r="B33" s="8" t="s">
        <v>253</v>
      </c>
      <c r="C33" s="7" t="s">
        <v>23</v>
      </c>
      <c r="D33" s="7" t="s">
        <v>23</v>
      </c>
      <c r="E33" t="s">
        <v>237</v>
      </c>
    </row>
    <row r="34" spans="2:5" x14ac:dyDescent="0.25">
      <c r="B34" s="6" t="s">
        <v>84</v>
      </c>
      <c r="C34" s="7" t="s">
        <v>23</v>
      </c>
      <c r="D34" s="7" t="s">
        <v>23</v>
      </c>
      <c r="E34" t="s">
        <v>237</v>
      </c>
    </row>
    <row r="35" spans="2:5" x14ac:dyDescent="0.25">
      <c r="B35" s="8" t="s">
        <v>221</v>
      </c>
      <c r="C35" s="7" t="s">
        <v>23</v>
      </c>
      <c r="D35" s="7" t="s">
        <v>23</v>
      </c>
      <c r="E35" t="s">
        <v>237</v>
      </c>
    </row>
    <row r="36" spans="2:5" x14ac:dyDescent="0.25">
      <c r="B36" s="6" t="s">
        <v>277</v>
      </c>
      <c r="C36" s="7" t="s">
        <v>23</v>
      </c>
      <c r="D36" s="7" t="s">
        <v>237</v>
      </c>
      <c r="E36" t="s">
        <v>237</v>
      </c>
    </row>
    <row r="37" spans="2:5" x14ac:dyDescent="0.25">
      <c r="B37" s="8" t="s">
        <v>253</v>
      </c>
      <c r="C37" s="7" t="s">
        <v>23</v>
      </c>
      <c r="D37" s="7" t="s">
        <v>23</v>
      </c>
      <c r="E37" t="s">
        <v>237</v>
      </c>
    </row>
    <row r="38" spans="2:5" x14ac:dyDescent="0.25">
      <c r="B38" s="6" t="s">
        <v>221</v>
      </c>
      <c r="C38" s="7" t="s">
        <v>23</v>
      </c>
      <c r="D38" s="7" t="s">
        <v>23</v>
      </c>
      <c r="E38" t="s">
        <v>237</v>
      </c>
    </row>
    <row r="39" spans="2:5" x14ac:dyDescent="0.25">
      <c r="B39" s="8" t="s">
        <v>63</v>
      </c>
      <c r="C39" s="7" t="s">
        <v>23</v>
      </c>
      <c r="D39" s="7" t="s">
        <v>237</v>
      </c>
      <c r="E39" t="s">
        <v>237</v>
      </c>
    </row>
  </sheetData>
  <autoFilter ref="B1:D39" xr:uid="{77B86AD5-214A-4E29-8C3C-D28012B13A5F}"/>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Respuestas de formulario 1</vt:lpstr>
      <vt:lpstr>masa de trabajo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JHONATHAN VODNIZZA KINGMA</dc:creator>
  <cp:lastModifiedBy>JHONATHAN VODNIZZA KINGMA</cp:lastModifiedBy>
  <dcterms:created xsi:type="dcterms:W3CDTF">2026-08-07T18:02:27Z</dcterms:created>
  <dcterms:modified xsi:type="dcterms:W3CDTF">2026-09-08T13:29:48Z</dcterms:modified>
</cp:coreProperties>
</file>