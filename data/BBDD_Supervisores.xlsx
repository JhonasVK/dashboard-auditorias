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CBF13174-F61E-4682-8ACA-5ABFD4F9EB26}" xr6:coauthVersionLast="47" xr6:coauthVersionMax="47" xr10:uidLastSave="{00000000-0000-0000-0000-000000000000}"/>
  <bookViews>
    <workbookView xWindow="-108" yWindow="-108" windowWidth="23256" windowHeight="12456" xr2:uid="{00000000-000D-0000-FFFF-FFFF00000000}"/>
  </bookViews>
  <sheets>
    <sheet name="Respuestas de formulario 1" sheetId="1" r:id="rId1"/>
    <sheet name="masa de trabajo" sheetId="2" r:id="rId2"/>
  </sheets>
  <definedNames>
    <definedName name="_xlnm._FilterDatabase" localSheetId="1" hidden="1">'masa de trabajo'!$B$1:$D$39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8" i="1" l="1"/>
  <c r="AH49" i="1"/>
  <c r="AI48" i="1"/>
  <c r="AI49" i="1"/>
  <c r="AJ48" i="1"/>
  <c r="AJ49" i="1"/>
  <c r="AH47" i="1"/>
  <c r="AI47" i="1"/>
  <c r="AJ47" i="1"/>
  <c r="AH45" i="1"/>
  <c r="AH46" i="1"/>
  <c r="AI45" i="1"/>
  <c r="AI46" i="1"/>
  <c r="AJ45" i="1"/>
  <c r="AJ46" i="1"/>
  <c r="AH44" i="1"/>
  <c r="AI44" i="1"/>
  <c r="AJ44" i="1"/>
  <c r="AH43" i="1"/>
  <c r="AI43" i="1"/>
  <c r="AJ43"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3" i="1"/>
  <c r="AJ4" i="1"/>
  <c r="AJ5" i="1"/>
  <c r="AJ6" i="1"/>
  <c r="AJ7" i="1"/>
  <c r="AJ8" i="1"/>
  <c r="AJ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2"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alcChain>
</file>

<file path=xl/sharedStrings.xml><?xml version="1.0" encoding="utf-8"?>
<sst xmlns="http://schemas.openxmlformats.org/spreadsheetml/2006/main" count="1311" uniqueCount="432">
  <si>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</si>
  <si>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</si>
  <si>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</si>
  <si>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</si>
  <si>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</si>
  <si>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</si>
  <si>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</si>
  <si>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</si>
  <si>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</si>
  <si>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</si>
  <si>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</si>
  <si>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</si>
  <si>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</si>
  <si>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</si>
  <si>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</si>
  <si>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</si>
  <si>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</si>
  <si>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</si>
  <si>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</si>
  <si>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</si>
  <si>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</si>
  <si>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</si>
  <si>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</si>
  <si>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</si>
  <si>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</si>
  <si>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</si>
  <si>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</si>
  <si>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</si>
  <si>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</si>
  <si>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</si>
  <si>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</si>
  <si>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</si>
  <si>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</si>
  <si>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</si>
  <si>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</si>
  <si>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</si>
  <si>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</si>
  <si>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</si>
  <si>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</si>
  <si>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</si>
  <si>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</si>
  <si>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</si>
  <si>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</si>
  <si>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</si>
  <si>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</si>
  <si>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</si>
  <si>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</si>
  <si>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</si>
  <si>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</si>
  <si>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</si>
  <si>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</si>
  <si>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</si>
  <si>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</si>
  <si>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</si>
  <si>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</si>
  <si>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</si>
  <si>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</si>
  <si>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</si>
  <si>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</si>
  <si>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</si>
  <si>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</si>
  <si>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</si>
  <si>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</si>
  <si>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</si>
  <si>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</si>
  <si>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</si>
  <si>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</si>
  <si>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</si>
  <si>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</si>
  <si>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</si>
  <si>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</si>
  <si>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</si>
  <si>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</si>
  <si>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</si>
  <si>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</si>
  <si>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</si>
  <si>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</si>
  <si>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</si>
  <si>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</si>
  <si>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</si>
  <si>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</si>
  <si>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</si>
  <si>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</si>
  <si>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</si>
  <si>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</si>
  <si>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</si>
  <si>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</si>
  <si>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</si>
  <si>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</si>
  <si>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</si>
  <si>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</si>
  <si>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</si>
  <si>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</si>
  <si>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</si>
  <si>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</si>
  <si>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</si>
  <si>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</si>
  <si>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</si>
  <si>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</si>
  <si>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</si>
  <si>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</si>
  <si>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</si>
  <si>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</si>
  <si>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</si>
  <si>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</si>
  <si>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</si>
  <si>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</si>
  <si>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</si>
  <si>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</si>
  <si>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</si>
  <si>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</si>
  <si>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</si>
  <si>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</si>
  <si>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</si>
  <si>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</si>
  <si>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</si>
  <si>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</si>
  <si>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</si>
  <si>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</si>
  <si>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</si>
  <si>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</si>
  <si>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</si>
  <si>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</si>
  <si>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</si>
  <si>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</si>
  <si>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</si>
  <si>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</si>
  <si>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</si>
  <si>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</si>
  <si>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</si>
  <si>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</si>
  <si>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</si>
  <si>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</si>
  <si>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</si>
  <si>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</si>
  <si>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</si>
  <si>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</si>
  <si>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</si>
  <si>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</si>
  <si>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</si>
  <si>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</si>
  <si>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</si>
  <si>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</si>
  <si>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</si>
  <si>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</si>
  <si>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</si>
  <si>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</si>
  <si>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</si>
  <si>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</si>
  <si>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</si>
  <si>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</si>
  <si>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</si>
  <si>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</si>
  <si>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</si>
  <si>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</si>
  <si>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</si>
  <si>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</si>
  <si>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</si>
  <si>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</si>
  <si>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</si>
  <si>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</si>
  <si>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</si>
  <si>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</si>
  <si>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</si>
  <si>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</si>
  <si>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</si>
  <si>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</si>
  <si>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</si>
  <si>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</si>
  <si>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</si>
  <si>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</si>
  <si>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</si>
  <si>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</si>
  <si>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</si>
  <si>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</si>
  <si>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</si>
  <si>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</si>
  <si>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</si>
  <si>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</si>
  <si>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</si>
  <si>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</si>
  <si>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</si>
  <si>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</si>
  <si>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</si>
  <si>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</si>
  <si>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</si>
  <si>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</si>
  <si>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</si>
  <si>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</si>
  <si>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</si>
  <si>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</si>
  <si>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</si>
  <si>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</si>
  <si>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</si>
  <si>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</si>
  <si>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</si>
  <si>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</si>
  <si>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</si>
  <si>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</si>
  <si>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</si>
  <si>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</si>
  <si>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</si>
  <si>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</si>
  <si>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</si>
  <si>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</si>
  <si>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</si>
  <si>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</si>
  <si>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</si>
  <si>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</si>
  <si>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</si>
  <si>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</si>
  <si>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</si>
  <si>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</si>
  <si>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</si>
  <si>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</si>
  <si>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</si>
  <si>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</si>
  <si>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</si>
  <si>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</si>
  <si>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</si>
  <si>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</si>
  <si>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</si>
  <si>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</si>
  <si>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</si>
  <si>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</si>
  <si>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</si>
  <si>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</si>
  <si>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</si>
  <si>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</si>
  <si>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</si>
  <si>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</si>
  <si>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</si>
  <si>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</si>
  <si>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</si>
  <si>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</si>
  <si>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</si>
  <si>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</si>
  <si>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</si>
  <si>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</si>
  <si>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</si>
  <si>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</si>
  <si>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</si>
  <si>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</si>
  <si>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</si>
  <si>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</si>
  <si>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</si>
  <si>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</si>
  <si>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</si>
  <si>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</si>
  <si>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</si>
  <si>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</si>
  <si>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</si>
  <si>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</si>
  <si>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</si>
  <si>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</si>
  <si>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</si>
  <si>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</si>
  <si>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</si>
  <si>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</si>
  <si>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</si>
  <si>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</si>
  <si>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</si>
  <si>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</si>
  <si>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</si>
  <si>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</si>
  <si>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</si>
  <si>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</si>
  <si>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</si>
  <si>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</si>
  <si>
    <t>1-3NJBWJB3</t>
  </si>
  <si>
    <t xml:space="preserve">General Prieto 1305, edif B dpto 1601, Independencia </t>
  </si>
  <si>
    <t>https://drive.google.com/open?id=1x9PfM7oe68fI1GDoXZmw6oPmH0KIs1iA</t>
  </si>
  <si>
    <t>https://drive.google.com/open?id=1GuCx2Pc9bbIwqE8A8sCI7z2S0TmXENSx</t>
  </si>
  <si>
    <t>https://drive.google.com/open?id=1IeLpHza4qeddPc7YQ_ReX0Lwwm3ry54W</t>
  </si>
  <si>
    <t>https://drive.google.com/open?id=1JvAgn13_aoCqozmenMDl3quKGXMoExO_</t>
  </si>
  <si>
    <t>No retira pestaña en roseta, no utiliza one click</t>
  </si>
  <si>
    <t>1-3NL4LLZO</t>
  </si>
  <si>
    <t>JONATHAN DIAZ CALDERON</t>
  </si>
  <si>
    <t xml:space="preserve">Lircay 0370, Recoleta </t>
  </si>
  <si>
    <t>Camila Ordenes</t>
  </si>
  <si>
    <t>https://drive.google.com/open?id=1tEudZOft8xZpMDsQSQPQeCTefP2_pegg</t>
  </si>
  <si>
    <t>https://drive.google.com/open?id=10Xlmjj0mBNKoHxU001e7vmmevZMvK43s</t>
  </si>
  <si>
    <t>https://drive.google.com/open?id=1p2tAKq4wDWPhOmNrxcjgQkRnRmLP6JL9</t>
  </si>
  <si>
    <t>https://drive.google.com/open?id=142ZUGj9G7YSmqQj_PBMrNlHaoMghoHPH</t>
  </si>
  <si>
    <t xml:space="preserve">No utiliza one click </t>
  </si>
  <si>
    <t>1-3NLYBW1U</t>
  </si>
  <si>
    <t>Membrillar 5728, Quinta Normal</t>
  </si>
  <si>
    <t>https://drive.google.com/open?id=1r0QOTrD_EHj73uRDoPT5l74DoIWcc3wT</t>
  </si>
  <si>
    <t>https://drive.google.com/open?id=14MxsC3C0f207VMLAOa5bWYleWv216rnN</t>
  </si>
  <si>
    <t>https://drive.google.com/open?id=1flZwOSfHLNBkFuA2mrKyCbnSD5a4EfU0</t>
  </si>
  <si>
    <t>https://drive.google.com/open?id=1Hg3v8SkyQN2WJQTNtfEU-LeIj27gEi1X</t>
  </si>
  <si>
    <t>A petición de cliente se instala roseta fuera de norma</t>
  </si>
  <si>
    <t>1-3NN9AV8Q</t>
  </si>
  <si>
    <t xml:space="preserve">Pablo Urzua 1559, Independencia </t>
  </si>
  <si>
    <t xml:space="preserve">Wilman Hernandez </t>
  </si>
  <si>
    <t>https://drive.google.com/open?id=12oZ5C6nPLv6t7TKKaCG0GUD4Ii-9w7z0</t>
  </si>
  <si>
    <t>https://drive.google.com/open?id=1FMERhxTFgD1yrm9IjxJ7kFwgXiUbnAg_</t>
  </si>
  <si>
    <t>https://drive.google.com/open?id=1qQa-IfAV_dLOsGZNC17MNWWzKIc7SkUQ</t>
  </si>
  <si>
    <t>https://drive.google.com/open?id=1VBmcxDYN7guoxYGYj5s7TrynjAfkJBDw</t>
  </si>
  <si>
    <t>A petición de cliente roseta se instala fuera de norma, si cumple con el corte en pestaña de roseta</t>
  </si>
  <si>
    <t>1-3NNJY7KN</t>
  </si>
  <si>
    <t xml:space="preserve">Nueva Extremadura 5372, Quinta Normal </t>
  </si>
  <si>
    <t>Carlos Flores</t>
  </si>
  <si>
    <t>https://drive.google.com/open?id=1k7NrqxzILvpaTm4qWKGA0--kvvfmIIPD</t>
  </si>
  <si>
    <t>https://drive.google.com/open?id=1KEgvIgqv-ptL598vs8XqqQyy3OhdPw6S</t>
  </si>
  <si>
    <t>https://drive.google.com/open?id=18eY7uINq6UqqU6StJ9GOuPT_sbq1-Zdo</t>
  </si>
  <si>
    <t>https://drive.google.com/open?id=15WtN5v6Aw0eRGykvQp2rGSm_0U6UaInr</t>
  </si>
  <si>
    <t>No retira pestaña en roseta, utiliza herramientas de ambos one click</t>
  </si>
  <si>
    <t>1-3ND4KOAK</t>
  </si>
  <si>
    <t>Pasaje C 68</t>
  </si>
  <si>
    <t>Daniela Segovia</t>
  </si>
  <si>
    <t>https://drive.google.com/open?id=1ZHmYxeoFOC5phCiVio592U7rhVZ0tYXy</t>
  </si>
  <si>
    <t>https://drive.google.com/open?id=1egI1lxqhCpkbi4T4tixnLNGbMi8mvw1h</t>
  </si>
  <si>
    <t>https://drive.google.com/open?id=15AlcG5YugrRMwnS_TVvHf372kGJ9nrqg</t>
  </si>
  <si>
    <t>https://drive.google.com/open?id=1KDROq1VK7guj15eYPcVTBxTS5UbN_JpJ</t>
  </si>
  <si>
    <t>Técnico cumple con las normas.</t>
  </si>
  <si>
    <t>1-3NFDRCY3</t>
  </si>
  <si>
    <t>Cotacotani 34</t>
  </si>
  <si>
    <t>Erick Arrue</t>
  </si>
  <si>
    <t>https://drive.google.com/open?id=1_dnXHFhbI_rHIPquJovLBhU46yIrAZ3n</t>
  </si>
  <si>
    <t>https://drive.google.com/open?id=1mNdABhyD-BWi_0xnmvqaCeLnpVpDiURR</t>
  </si>
  <si>
    <t>https://drive.google.com/open?id=1Vk1aFMxBIdlXyYBKm1PRsmfCVwtQMPsV</t>
  </si>
  <si>
    <t>https://drive.google.com/open?id=1JyPmA8uNhOVvTRycpVmimBTyYoXMHg0y</t>
  </si>
  <si>
    <t>Técnico cumple con las normas</t>
  </si>
  <si>
    <t>1-3NEG6VRC</t>
  </si>
  <si>
    <t>Las Maravillas 315</t>
  </si>
  <si>
    <t>Katherine Rodriguez</t>
  </si>
  <si>
    <t>https://drive.google.com/open?id=1pc_PLk8xNWHcoYORgNdryoio50_OJRe6</t>
  </si>
  <si>
    <t>https://drive.google.com/open?id=1wsYwrN88WDFb7NWHf8osRL8GnpzbB1e_</t>
  </si>
  <si>
    <t>https://drive.google.com/open?id=16tLU2tsRGSZYpel88kvrTizbREZsrQ7x</t>
  </si>
  <si>
    <t>Reparación reset de equipos , pruebas de cobertura test de velocidad</t>
  </si>
  <si>
    <t>1-3NG18R4J</t>
  </si>
  <si>
    <t>Carlos Pezoa Véliz 160</t>
  </si>
  <si>
    <t>Susana Salinas</t>
  </si>
  <si>
    <t>2, 4</t>
  </si>
  <si>
    <t>https://drive.google.com/open?id=1cD1N6AEKr1vU2RtVlCAUekMeFW0jONZc</t>
  </si>
  <si>
    <t>https://drive.google.com/open?id=1LdvtDzcg_Id4QqvHWSPg28VYwtyzhbnq</t>
  </si>
  <si>
    <t>https://drive.google.com/open?id=1OeTk1d8S6gK4Pi9SvrmwXAB_UlGSOg3H</t>
  </si>
  <si>
    <t>Reparación , se cambia conector cortado en roseta.</t>
  </si>
  <si>
    <t>1-3NJAI727</t>
  </si>
  <si>
    <t>GUERRERO LEIVA ELADIO ANDRES</t>
  </si>
  <si>
    <t>Pasaje E 32</t>
  </si>
  <si>
    <t>Jorge Caamaño</t>
  </si>
  <si>
    <t>https://drive.google.com/open?id=1KCRYVed39OkGvsCk0Um8ai5Fp51O9jAO</t>
  </si>
  <si>
    <t>https://drive.google.com/open?id=1qfFagTsqYMPvdSUFin5YtdOKQ0tlmQiT</t>
  </si>
  <si>
    <t>https://drive.google.com/open?id=1isoAII7ef9vNpSjclPMVQR5qOtG59WxP</t>
  </si>
  <si>
    <t>Reparación drop levantado en CTO.</t>
  </si>
  <si>
    <t>1-3NNEKWHY</t>
  </si>
  <si>
    <t>HECTOR DAVID REYES OLMOS</t>
  </si>
  <si>
    <t>Parinacota 50 depto 21</t>
  </si>
  <si>
    <t>Mama de titular</t>
  </si>
  <si>
    <t>https://drive.google.com/open?id=14SFHycDeSjKPiGhW0C0rxgm3MRz-nqXT</t>
  </si>
  <si>
    <t>https://drive.google.com/open?id=1knpkTpAujRFTgyyCdsXBosb0UgOFoN2E</t>
  </si>
  <si>
    <t>https://drive.google.com/open?id=1wFF803e-lPpln5LWOzqcWBALjxkJ23cK</t>
  </si>
  <si>
    <t>https://drive.google.com/open?id=1MwSEkrsBBQvBBAIH6sUjmiE0-F2pEfCp</t>
  </si>
  <si>
    <t>Instalación , técnico reutiliza drop a petición de cliente el dormitorio lo había forrado palmetas de pluma voy con diseños.</t>
  </si>
  <si>
    <t xml:space="preserve">1-3N7Q47LB </t>
  </si>
  <si>
    <t>Los Limonares 399 casa 19</t>
  </si>
  <si>
    <t>https://drive.google.com/open?id=1ifMagLDjS7-z44QC25L9EwxBgIJHujRK</t>
  </si>
  <si>
    <t>https://drive.google.com/open?id=15udke8hsV9VTpZEmGDtbrUO7CrcGQMlP</t>
  </si>
  <si>
    <t>https://drive.google.com/open?id=1vmgil_WaQ0xuPdmdkg1EXsUweEWPvmfe</t>
  </si>
  <si>
    <t>https://drive.google.com/open?id=17dCwfUXA9AI7eeNFUBE4rabzbj9TBekH</t>
  </si>
  <si>
    <t>Instalación por cámaras.</t>
  </si>
  <si>
    <t>1-3NOYLK2D</t>
  </si>
  <si>
    <t>XAVIER NATERA MARTINEZ</t>
  </si>
  <si>
    <t xml:space="preserve">Los suspiros 2864, Quinta Normal </t>
  </si>
  <si>
    <t>https://drive.google.com/open?id=14swrKT8z_gymQwhT5IhdH-mVs0pplGko</t>
  </si>
  <si>
    <t>https://drive.google.com/open?id=1ANguWjjWSjseyLds8byVP6N9nzOT39tx</t>
  </si>
  <si>
    <t>https://drive.google.com/open?id=1wKQpc_z6296Zpf7qLkmrb96dsJw9h1ez</t>
  </si>
  <si>
    <t>https://drive.google.com/open?id=1-1rwkehkMlzlYTR3c3C47jf_-71kQDOU</t>
  </si>
  <si>
    <t>1-3NOTROJ0</t>
  </si>
  <si>
    <t>Av Cardenal Jose Maria Caro 3368, Independencia</t>
  </si>
  <si>
    <t>Freddy Flores</t>
  </si>
  <si>
    <t>https://drive.google.com/open?id=1fr8kqb0qYgoW1kJvGmuYSGKXphKqkO4S</t>
  </si>
  <si>
    <t>https://drive.google.com/open?id=1GrHh-fNVvY4NmvaaOiftMkxS_2xxmyxP</t>
  </si>
  <si>
    <t>https://drive.google.com/open?id=1Wskr8uc0GZARG5xMSg7mC1mqiEcPBwIx</t>
  </si>
  <si>
    <t>https://drive.google.com/open?id=1qFeraJ0W0wL6xeEvbWqkxvRVd6vkiZLO</t>
  </si>
  <si>
    <t>Solo falta utilizar ambos one click</t>
  </si>
  <si>
    <t>1-3NPLUJ4C</t>
  </si>
  <si>
    <t>Av costanera sur 4832, Quinta Normal</t>
  </si>
  <si>
    <t>https://drive.google.com/open?id=1EUNQ_WLp7Z_eaFBr4GxAOwQf2hohRZLu</t>
  </si>
  <si>
    <t>https://drive.google.com/open?id=1mQ-GjTcSvbY8EU1ZE7qg5Wn1xToM9WZ5</t>
  </si>
  <si>
    <t>https://drive.google.com/open?id=1ff7gndt56j206swD5de6hpheDUPgwmmI</t>
  </si>
  <si>
    <t>https://drive.google.com/open?id=1Fq_WRrGKyUsT7_5INBoXsvGn7V7Xu18W</t>
  </si>
  <si>
    <t>No utiliza one click</t>
  </si>
  <si>
    <t>1-3NQ40XW0</t>
  </si>
  <si>
    <t xml:space="preserve">Juan Martinez De Rosa 5093, Quinta Normal </t>
  </si>
  <si>
    <t>Ricardo Morales</t>
  </si>
  <si>
    <t>https://drive.google.com/open?id=1FPvFPDgEnnypJWf0VXmV29yOAdaRKUZR</t>
  </si>
  <si>
    <t>https://drive.google.com/open?id=1otNSCl6WVib1dsbC8I8_nAyXRJ9qrRVm</t>
  </si>
  <si>
    <t>https://drive.google.com/open?id=10tliLsuE2PB_Jc-GAEJOLCkIX_U0HfhN</t>
  </si>
  <si>
    <t>https://drive.google.com/open?id=1Qp5ezsgZAQ38PrHjL_3U5p91DxI5bHmh</t>
  </si>
  <si>
    <t xml:space="preserve">No retira pestaña en roseta, sin dificultad Conector </t>
  </si>
  <si>
    <t>1-3NRRATPK</t>
  </si>
  <si>
    <t>Cuadro verde 150 edif 1 dpto 83, Estacion Central</t>
  </si>
  <si>
    <t>Jaime Carrillo</t>
  </si>
  <si>
    <t>https://drive.google.com/open?id=1H08P5rlpRN_laQ_a1DAfCZydYE8kle1J</t>
  </si>
  <si>
    <t>https://drive.google.com/open?id=14uxy8hUORxfoeCTanmU6qVyMCVQR5mFg</t>
  </si>
  <si>
    <t>https://drive.google.com/open?id=1QUbHfHIInppcuY4avzGQ8BoX81fsrszR</t>
  </si>
  <si>
    <t>https://drive.google.com/open?id=1V9PMOnlqYqfCZoTXIqI4Jj4cEQqAC2Gi</t>
  </si>
  <si>
    <t>No retira pestaña en roseta</t>
  </si>
  <si>
    <t xml:space="preserve">1-3NRWT22T </t>
  </si>
  <si>
    <t xml:space="preserve">Mundo Nuevo 4405, Quinta Normal </t>
  </si>
  <si>
    <t>Andrea Muñoz</t>
  </si>
  <si>
    <t>https://drive.google.com/open?id=1HuvvMuctR9m1VrvdLiRxt2OQIB1-g_Iv</t>
  </si>
  <si>
    <t>https://drive.google.com/open?id=1PVSZSZf1DgoMJ-OqDtUMa_7eL8vMTWsJ</t>
  </si>
  <si>
    <t>https://drive.google.com/open?id=1iBf4CyIyl_Kn6bd5FQcqxIVLAlexu6wI</t>
  </si>
  <si>
    <t>https://drive.google.com/open?id=1bkLvpgjZFHF_EH3JYOlqWL_viViW592z</t>
  </si>
  <si>
    <t xml:space="preserve">Instalación de roseta fuera de norma a petición de cliente, técnico ocupa herramientas one click según procedimiento </t>
  </si>
  <si>
    <t>1-3NSYNSJO</t>
  </si>
  <si>
    <t xml:space="preserve">Profesor fuentes maturana 5550, Quinta Normal </t>
  </si>
  <si>
    <t>Victor Poblete</t>
  </si>
  <si>
    <t>https://drive.google.com/open?id=1A1HdoZV4K2-AV-NhQvzQZXyfq2e4TI7J</t>
  </si>
  <si>
    <t>https://drive.google.com/open?id=1PTIDd-AS6cynot9xfLospy-xuV3Vkr1A</t>
  </si>
  <si>
    <t>https://drive.google.com/open?id=1OVqFnS5KM8dMxyy7T1aZEPfk1W1x8s1F</t>
  </si>
  <si>
    <t>https://drive.google.com/open?id=1vKkd3BF0vSLMJrZVAjhV9LScvzP4jr0M</t>
  </si>
  <si>
    <t>Se conversa sobre indicador de calidad para su mejora</t>
  </si>
  <si>
    <t xml:space="preserve"> 1-3NUIL83A</t>
  </si>
  <si>
    <t>Lafayette 2017, Recoleta</t>
  </si>
  <si>
    <t>Fabian Carvajal</t>
  </si>
  <si>
    <t>https://drive.google.com/open?id=19WrR74n1etaBVMen-DyGV33OgXSmaz8L</t>
  </si>
  <si>
    <t>https://drive.google.com/open?id=1KYFrVw1pL_0Q5oqO_iS8O72xbLCBhlDg</t>
  </si>
  <si>
    <t>https://drive.google.com/open?id=1E-Gbl11mMALafzRVGS9zWvYHrsIvefWr</t>
  </si>
  <si>
    <t>https://drive.google.com/open?id=1ifBXJXqm2X_xYoaodxi7OSxX1hht8G-z</t>
  </si>
  <si>
    <t>Instalación correcta, uso de cable utp para extensor, niveles de decodificador en norma, REALIZA RETIRO DE PESTAÑA EN ROSETA</t>
  </si>
  <si>
    <t>1-3NUF59Z9</t>
  </si>
  <si>
    <t>EL ROBLE 939 EDIF. B3 DEPTO 201, Recoleta</t>
  </si>
  <si>
    <t>Carlos Huircapan</t>
  </si>
  <si>
    <t>https://drive.google.com/open?id=199_vOyW5iFDWSkctyOAkdwUa0RLZsyBc</t>
  </si>
  <si>
    <t>https://drive.google.com/open?id=1JzVJLMeQukMDW8y-h87SfivUGemI6kwr</t>
  </si>
  <si>
    <t>https://drive.google.com/open?id=1KHZKWNghcu8s60NHE0Cd7WS8HLqck28B</t>
  </si>
  <si>
    <t>https://drive.google.com/open?id=1_k81iD8sO1N3-jqZHJHpo_yONU6UPC_b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</si>
</sst>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2">
    <border>
      <left/>
      <right/>
      <top/>
      <bottom/>
      <diagonal/>
    </border>
    <border>
      <left/>
      <right/>
      <top style="thin">
        <color rgb="FF5B3F86"/>
      </top>
      <bottom/>
      <diagonal/>
    </border>
  </borders>
  <cellStyleXfs count="2">
    <xf numFmtId="0" fontId="0" fillId="0" borderId="0"/>
    <xf numFmtId="0" fontId="4" fillId="5" borderId="0" applyNumberFormat="0" applyBorder="0" applyAlignment="0" applyProtection="0"/>
  </cellStyleXfs>
  <cellXfs count="17">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4" fillId="5" borderId="0" xfId="1" applyNumberFormat="1" applyAlignment="1">
      <alignment horizontal="center"/>
    </xf>
    <xf numFmtId="0" fontId="1" fillId="0" borderId="0" xfId="0" quotePrefix="1" applyFont="1" applyAlignment="1">
      <alignment vertic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49" headerRowDxfId="34">
  <autoFilter ref="A1:AJ49" xr:uid="{00000000-000C-0000-FFFF-FFFF00000000}"/>
  <tableColumns count="36">
    <tableColumn id="1" xr3:uid="{00000000-0010-0000-0000-000001000000}" name="Marca temporal" dataDxfId="26"/>
    <tableColumn id="2" xr3:uid="{00000000-0010-0000-0000-000002000000}" name="Puntuación" dataDxfId="25"/>
    <tableColumn id="3" xr3:uid="{00000000-0010-0000-0000-000003000000}" name="N° PETICIÓN " dataDxfId="24"/>
    <tableColumn id="4" xr3:uid="{00000000-0010-0000-0000-000004000000}" name="Nombre Técnico" dataDxfId="23"/>
    <tableColumn id="5" xr3:uid="{00000000-0010-0000-0000-000005000000}" name="SUPERVISOR" dataDxfId="22"/>
    <tableColumn id="6" xr3:uid="{00000000-0010-0000-0000-000006000000}" name="Se ejecuto la actividad" dataDxfId="21"/>
    <tableColumn id="7" xr3:uid="{00000000-0010-0000-0000-000007000000}" name="Se concreta auditoria?" dataDxfId="20"/>
    <tableColumn id="8" xr3:uid="{00000000-0010-0000-0000-000008000000}" name="Motivo de la derivación" dataDxfId="33"/>
    <tableColumn id="9" xr3:uid="{00000000-0010-0000-0000-000009000000}" name="Auditoria" dataDxfId="19"/>
    <tableColumn id="10" xr3:uid="{00000000-0010-0000-0000-00000A000000}" name="Actividad" dataDxfId="18"/>
    <tableColumn id="11" xr3:uid="{00000000-0010-0000-0000-00000B000000}" name="Instala drop con soportes" dataDxfId="17"/>
    <tableColumn id="12" xr3:uid="{00000000-0010-0000-0000-00000C000000}" name="DIRECCIÓN (Calle - Numero) " dataDxfId="16"/>
    <tableColumn id="13" xr3:uid="{00000000-0010-0000-0000-00000D000000}" name="Instala Pasa-muros " dataDxfId="32"/>
    <tableColumn id="14" xr3:uid="{00000000-0010-0000-0000-00000E000000}" name="Roseta Óptica en norma y atornillada " dataDxfId="15"/>
    <tableColumn id="15" xr3:uid="{00000000-0010-0000-0000-00000F000000}" name="Repetidor Cableado" dataDxfId="31"/>
    <tableColumn id="16" xr3:uid="{00000000-0010-0000-0000-000010000000}" name="Cantidad Decodificadores" dataDxfId="30"/>
    <tableColumn id="17" xr3:uid="{00000000-0010-0000-0000-000011000000}" name="Capacitación  al Cliente" dataDxfId="14"/>
    <tableColumn id="18" xr3:uid="{00000000-0010-0000-0000-000012000000}" name="Deja Área de Trabajo Limpio " dataDxfId="13"/>
    <tableColumn id="19" xr3:uid="{00000000-0010-0000-0000-000013000000}" name="Quien recibe en domicilio" dataDxfId="12"/>
    <tableColumn id="20" xr3:uid="{00000000-0010-0000-0000-000014000000}" name="Nota de Estética del cableado " dataDxfId="11"/>
    <tableColumn id="21" xr3:uid="{00000000-0010-0000-0000-000015000000}" name="Fotografía  Módem" dataDxfId="10"/>
    <tableColumn id="22" xr3:uid="{00000000-0010-0000-0000-000016000000}" name="Fotografía Roseta  Óptica Atornillada " dataDxfId="9"/>
    <tableColumn id="23" xr3:uid="{00000000-0010-0000-0000-000017000000}" name="Fotografías Pasa-muros " dataDxfId="8"/>
    <tableColumn id="24" xr3:uid="{00000000-0010-0000-0000-000018000000}" name="Fotografías" dataDxfId="7"/>
    <tableColumn id="25" xr3:uid="{00000000-0010-0000-0000-000019000000}" name="Estado Auditoria " dataDxfId="6"/>
    <tableColumn id="26" xr3:uid="{00000000-0010-0000-0000-00001A000000}" name="Técnico cumple correctamente con su función?  " dataDxfId="5"/>
    <tableColumn id="27" xr3:uid="{00000000-0010-0000-0000-00001B000000}" name="Con que nota se evalúa al técnico " dataDxfId="4"/>
    <tableColumn id="28" xr3:uid="{00000000-0010-0000-0000-00001C000000}" name="Observaciones (detallar observaciones)" dataDxfId="3"/>
    <tableColumn id="33" xr3:uid="{6654FF87-3155-4898-9A65-816C7D124028}" name="Utiliza OneClick para realizar limpieza a conectores " dataDxfId="29"/>
    <tableColumn id="36" xr3:uid="{2662FBBF-EEE5-4E82-98C0-8584BF84424E}" name="Drop se encuentra encuentra dentro de norma de instalaciones " dataDxfId="2"/>
    <tableColumn id="35" xr3:uid="{CF2913D1-167E-463D-9DEB-ADD1D59E4B8D}" name="Reutiliza Instalación " dataDxfId="1"/>
    <tableColumn id="34" xr3:uid="{1C1000A3-E2F8-4E7C-A510-442774329E98}" name="Utiliza Alcohol isopropilico " dataDxfId="28"/>
    <tableColumn id="32" xr3:uid="{54579B12-B98C-417C-A72D-BAB0E503080E}" name="Reutiliza Instalación de otra compañía " dataDxfId="0"/>
    <tableColumn id="29" xr3:uid="{B3B22204-0EB9-42F6-9D1A-876CFB34A91A}" name="Se llevó a cabo la mesa de trabajo." dataDxfId="27" dataCellStyle="Bueno">
      <calculatedColumnFormula>IFERROR(VLOOKUP(Form_Responses[[#This Row],[Nombre Técnico]],'masa de trabajo'!$B:$C,2,0),"")</calculatedColumnFormula>
    </tableColumn>
    <tableColumn id="30" xr3:uid="{D5B9DC4A-17D5-4220-A758-C20FA12AC150}" name="Se cerró el proceso con el técnico?" dataCellStyle="Bueno">
      <calculatedColumnFormula>VLOOKUP(Form_Responses[[#This Row],[Nombre Técnico]],'masa de trabajo'!$B:$E,3,0)</calculatedColumnFormula>
    </tableColumn>
    <tableColumn id="31" xr3:uid="{6A4280CD-66D9-45AA-9502-7B76CE3469BE}" name="Observaciones " dataCellStyle="Bueno">
      <calculatedColumnFormula>VLOOKUP(Form_Responses[[#This Row],[Nombre Técnico]],'masa de trabajo'!$B:$E,4,0)</calculatedColumnFormula>
    </tableColumn>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open?id=1KDROq1VK7guj15eYPcVTBxTS5UbN_JpJ"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63" Type="http://schemas.openxmlformats.org/officeDocument/2006/relationships/hyperlink" Target="https://drive.google.com/open?id=1_umJ2T0gHpdeAPP5rTnZeH-iCcxKr8BQ" TargetMode="External"/><Relationship Id="rId84" Type="http://schemas.openxmlformats.org/officeDocument/2006/relationships/hyperlink" Target="https://drive.google.com/open?id=1Ys6nt4mKfVNhwTJ1l5mGZmPtCDTs2wiD" TargetMode="External"/><Relationship Id="rId138" Type="http://schemas.openxmlformats.org/officeDocument/2006/relationships/hyperlink" Target="https://drive.google.com/open?id=17dCwfUXA9AI7eeNFUBE4rabzbj9TBekH" TargetMode="External"/><Relationship Id="rId159" Type="http://schemas.openxmlformats.org/officeDocument/2006/relationships/hyperlink" Target="https://drive.google.com/open?id=1HuvvMuctR9m1VrvdLiRxt2OQIB1-g_Iv" TargetMode="External"/><Relationship Id="rId170" Type="http://schemas.openxmlformats.org/officeDocument/2006/relationships/hyperlink" Target="https://drive.google.com/open?id=1ifBXJXqm2X_xYoaodxi7OSxX1hht8G-z" TargetMode="External"/><Relationship Id="rId107" Type="http://schemas.openxmlformats.org/officeDocument/2006/relationships/hyperlink" Target="https://drive.google.com/open?id=1FMERhxTFgD1yrm9IjxJ7kFwgXiUbnAg_"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53" Type="http://schemas.openxmlformats.org/officeDocument/2006/relationships/hyperlink" Target="https://drive.google.com/open?id=15KDgPCFq3sfPmtt5xX54MeAKk9jAUKVI" TargetMode="External"/><Relationship Id="rId74" Type="http://schemas.openxmlformats.org/officeDocument/2006/relationships/hyperlink" Target="https://drive.google.com/open?id=175wmetPS8lkwNiPqFoJHg0ClHU-Xlywv" TargetMode="External"/><Relationship Id="rId128" Type="http://schemas.openxmlformats.org/officeDocument/2006/relationships/hyperlink" Target="https://drive.google.com/open?id=1KCRYVed39OkGvsCk0Um8ai5Fp51O9jAO" TargetMode="External"/><Relationship Id="rId149" Type="http://schemas.openxmlformats.org/officeDocument/2006/relationships/hyperlink" Target="https://drive.google.com/open?id=1ff7gndt56j206swD5de6hpheDUPgwmmI" TargetMode="External"/><Relationship Id="rId5" Type="http://schemas.openxmlformats.org/officeDocument/2006/relationships/hyperlink" Target="https://drive.google.com/open?id=12iqDQ8PRPzKO0ZtxepVFD_lo9Oak1i0A" TargetMode="External"/><Relationship Id="rId95" Type="http://schemas.openxmlformats.org/officeDocument/2006/relationships/hyperlink" Target="https://drive.google.com/open?id=1GuCx2Pc9bbIwqE8A8sCI7z2S0TmXENSx" TargetMode="External"/><Relationship Id="rId160" Type="http://schemas.openxmlformats.org/officeDocument/2006/relationships/hyperlink" Target="https://drive.google.com/open?id=1PVSZSZf1DgoMJ-OqDtUMa_7eL8vMTWsJ" TargetMode="External"/><Relationship Id="rId22" Type="http://schemas.openxmlformats.org/officeDocument/2006/relationships/hyperlink" Target="https://drive.google.com/open?id=1WwnXsHKOqdcxhVKy7K78PfZqcdpIXWPD" TargetMode="External"/><Relationship Id="rId43" Type="http://schemas.openxmlformats.org/officeDocument/2006/relationships/hyperlink" Target="https://drive.google.com/open?id=1Q8vNcuhdAz4joWsuGjDNyWvbEU-wJasi" TargetMode="External"/><Relationship Id="rId64" Type="http://schemas.openxmlformats.org/officeDocument/2006/relationships/hyperlink" Target="https://drive.google.com/open?id=1TzdMGzyYx5WTozjYRFT2uT4JAqQdxQS9" TargetMode="External"/><Relationship Id="rId118" Type="http://schemas.openxmlformats.org/officeDocument/2006/relationships/hyperlink" Target="https://drive.google.com/open?id=1_dnXHFhbI_rHIPquJovLBhU46yIrAZ3n" TargetMode="External"/><Relationship Id="rId139" Type="http://schemas.openxmlformats.org/officeDocument/2006/relationships/hyperlink" Target="https://drive.google.com/open?id=14swrKT8z_gymQwhT5IhdH-mVs0pplGko" TargetMode="External"/><Relationship Id="rId85" Type="http://schemas.openxmlformats.org/officeDocument/2006/relationships/hyperlink" Target="https://drive.google.com/open?id=1_rR7gN5y9InaQxMnPBe41qRYzIVGu2lO" TargetMode="External"/><Relationship Id="rId150" Type="http://schemas.openxmlformats.org/officeDocument/2006/relationships/hyperlink" Target="https://drive.google.com/open?id=1Fq_WRrGKyUsT7_5INBoXsvGn7V7Xu18W" TargetMode="External"/><Relationship Id="rId171" Type="http://schemas.openxmlformats.org/officeDocument/2006/relationships/hyperlink" Target="https://drive.google.com/open?id=199_vOyW5iFDWSkctyOAkdwUa0RLZsyBc" TargetMode="External"/><Relationship Id="rId12" Type="http://schemas.openxmlformats.org/officeDocument/2006/relationships/hyperlink" Target="https://drive.google.com/open?id=1HftL8nuwMbjUi_N_uPN54iieHc1SNhZ7" TargetMode="External"/><Relationship Id="rId33" Type="http://schemas.openxmlformats.org/officeDocument/2006/relationships/hyperlink" Target="https://drive.google.com/open?id=1OP1hPRSdOrAR3cXLiyxw1o2ogy31xmuT" TargetMode="External"/><Relationship Id="rId108" Type="http://schemas.openxmlformats.org/officeDocument/2006/relationships/hyperlink" Target="https://drive.google.com/open?id=1qQa-IfAV_dLOsGZNC17MNWWzKIc7SkUQ" TargetMode="External"/><Relationship Id="rId129" Type="http://schemas.openxmlformats.org/officeDocument/2006/relationships/hyperlink" Target="https://drive.google.com/open?id=1qfFagTsqYMPvdSUFin5YtdOKQ0tlmQiT" TargetMode="External"/><Relationship Id="rId54" Type="http://schemas.openxmlformats.org/officeDocument/2006/relationships/hyperlink" Target="https://drive.google.com/open?id=1K-xGQrbagf4oW-D6DTh5YlQTXxo403UC" TargetMode="External"/><Relationship Id="rId75" Type="http://schemas.openxmlformats.org/officeDocument/2006/relationships/hyperlink" Target="https://drive.google.com/open?id=1ib28GsSsZ6_D2UPnN34V44_vE4lMsjT1" TargetMode="External"/><Relationship Id="rId96" Type="http://schemas.openxmlformats.org/officeDocument/2006/relationships/hyperlink" Target="https://drive.google.com/open?id=1IeLpHza4qeddPc7YQ_ReX0Lwwm3ry54W" TargetMode="External"/><Relationship Id="rId140" Type="http://schemas.openxmlformats.org/officeDocument/2006/relationships/hyperlink" Target="https://drive.google.com/open?id=1ANguWjjWSjseyLds8byVP6N9nzOT39tx" TargetMode="External"/><Relationship Id="rId161" Type="http://schemas.openxmlformats.org/officeDocument/2006/relationships/hyperlink" Target="https://drive.google.com/open?id=1iBf4CyIyl_Kn6bd5FQcqxIVLAlexu6wI"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49" Type="http://schemas.openxmlformats.org/officeDocument/2006/relationships/hyperlink" Target="https://drive.google.com/open?id=14TYRsLkplV2F4PgRT-NqLGyJXyvd-eYE" TargetMode="External"/><Relationship Id="rId114" Type="http://schemas.openxmlformats.org/officeDocument/2006/relationships/hyperlink" Target="https://drive.google.com/open?id=1ZHmYxeoFOC5phCiVio592U7rhVZ0tYXy" TargetMode="External"/><Relationship Id="rId119" Type="http://schemas.openxmlformats.org/officeDocument/2006/relationships/hyperlink" Target="https://drive.google.com/open?id=1mNdABhyD-BWi_0xnmvqaCeLnpVpDiURR" TargetMode="External"/><Relationship Id="rId44" Type="http://schemas.openxmlformats.org/officeDocument/2006/relationships/hyperlink" Target="https://drive.google.com/open?id=1wg6HKw0vboOMxwjSBYFMyCoNLjQe2glH"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130" Type="http://schemas.openxmlformats.org/officeDocument/2006/relationships/hyperlink" Target="https://drive.google.com/open?id=1isoAII7ef9vNpSjclPMVQR5qOtG59WxP" TargetMode="External"/><Relationship Id="rId135" Type="http://schemas.openxmlformats.org/officeDocument/2006/relationships/hyperlink" Target="https://drive.google.com/open?id=1ifMagLDjS7-z44QC25L9EwxBgIJHujRK" TargetMode="External"/><Relationship Id="rId151" Type="http://schemas.openxmlformats.org/officeDocument/2006/relationships/hyperlink" Target="https://drive.google.com/open?id=1FPvFPDgEnnypJWf0VXmV29yOAdaRKUZR" TargetMode="External"/><Relationship Id="rId156" Type="http://schemas.openxmlformats.org/officeDocument/2006/relationships/hyperlink" Target="https://drive.google.com/open?id=14uxy8hUORxfoeCTanmU6qVyMCVQR5mFg" TargetMode="External"/><Relationship Id="rId172" Type="http://schemas.openxmlformats.org/officeDocument/2006/relationships/hyperlink" Target="https://drive.google.com/open?id=1JzVJLMeQukMDW8y-h87SfivUGemI6kwr"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109" Type="http://schemas.openxmlformats.org/officeDocument/2006/relationships/hyperlink" Target="https://drive.google.com/open?id=1VBmcxDYN7guoxYGYj5s7TrynjAfkJBDw"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97" Type="http://schemas.openxmlformats.org/officeDocument/2006/relationships/hyperlink" Target="https://drive.google.com/open?id=1JvAgn13_aoCqozmenMDl3quKGXMoExO_" TargetMode="External"/><Relationship Id="rId104" Type="http://schemas.openxmlformats.org/officeDocument/2006/relationships/hyperlink" Target="https://drive.google.com/open?id=1flZwOSfHLNBkFuA2mrKyCbnSD5a4EfU0" TargetMode="External"/><Relationship Id="rId120" Type="http://schemas.openxmlformats.org/officeDocument/2006/relationships/hyperlink" Target="https://drive.google.com/open?id=1Vk1aFMxBIdlXyYBKm1PRsmfCVwtQMPsV" TargetMode="External"/><Relationship Id="rId125" Type="http://schemas.openxmlformats.org/officeDocument/2006/relationships/hyperlink" Target="https://drive.google.com/open?id=1cD1N6AEKr1vU2RtVlCAUekMeFW0jONZc" TargetMode="External"/><Relationship Id="rId141" Type="http://schemas.openxmlformats.org/officeDocument/2006/relationships/hyperlink" Target="https://drive.google.com/open?id=1wKQpc_z6296Zpf7qLkmrb96dsJw9h1ez" TargetMode="External"/><Relationship Id="rId146" Type="http://schemas.openxmlformats.org/officeDocument/2006/relationships/hyperlink" Target="https://drive.google.com/open?id=1qFeraJ0W0wL6xeEvbWqkxvRVd6vkiZLO" TargetMode="External"/><Relationship Id="rId167" Type="http://schemas.openxmlformats.org/officeDocument/2006/relationships/hyperlink" Target="https://drive.google.com/open?id=19WrR74n1etaBVMen-DyGV33OgXSmaz8L"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162" Type="http://schemas.openxmlformats.org/officeDocument/2006/relationships/hyperlink" Target="https://drive.google.com/open?id=1bkLvpgjZFHF_EH3JYOlqWL_viViW592z"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110" Type="http://schemas.openxmlformats.org/officeDocument/2006/relationships/hyperlink" Target="https://drive.google.com/open?id=1k7NrqxzILvpaTm4qWKGA0--kvvfmIIPD" TargetMode="External"/><Relationship Id="rId115" Type="http://schemas.openxmlformats.org/officeDocument/2006/relationships/hyperlink" Target="https://drive.google.com/open?id=1egI1lxqhCpkbi4T4tixnLNGbMi8mvw1h" TargetMode="External"/><Relationship Id="rId131" Type="http://schemas.openxmlformats.org/officeDocument/2006/relationships/hyperlink" Target="https://drive.google.com/open?id=14SFHycDeSjKPiGhW0C0rxgm3MRz-nqXT" TargetMode="External"/><Relationship Id="rId136" Type="http://schemas.openxmlformats.org/officeDocument/2006/relationships/hyperlink" Target="https://drive.google.com/open?id=15udke8hsV9VTpZEmGDtbrUO7CrcGQMlP" TargetMode="External"/><Relationship Id="rId157" Type="http://schemas.openxmlformats.org/officeDocument/2006/relationships/hyperlink" Target="https://drive.google.com/open?id=1QUbHfHIInppcuY4avzGQ8BoX81fsrszR"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52" Type="http://schemas.openxmlformats.org/officeDocument/2006/relationships/hyperlink" Target="https://drive.google.com/open?id=1otNSCl6WVib1dsbC8I8_nAyXRJ9qrRVm" TargetMode="External"/><Relationship Id="rId173" Type="http://schemas.openxmlformats.org/officeDocument/2006/relationships/hyperlink" Target="https://drive.google.com/open?id=1KHZKWNghcu8s60NHE0Cd7WS8HLqck28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 Id="rId100" Type="http://schemas.openxmlformats.org/officeDocument/2006/relationships/hyperlink" Target="https://drive.google.com/open?id=1p2tAKq4wDWPhOmNrxcjgQkRnRmLP6JL9" TargetMode="External"/><Relationship Id="rId105" Type="http://schemas.openxmlformats.org/officeDocument/2006/relationships/hyperlink" Target="https://drive.google.com/open?id=1Hg3v8SkyQN2WJQTNtfEU-LeIj27gEi1X" TargetMode="External"/><Relationship Id="rId126" Type="http://schemas.openxmlformats.org/officeDocument/2006/relationships/hyperlink" Target="https://drive.google.com/open?id=1LdvtDzcg_Id4QqvHWSPg28VYwtyzhbnq" TargetMode="External"/><Relationship Id="rId147" Type="http://schemas.openxmlformats.org/officeDocument/2006/relationships/hyperlink" Target="https://drive.google.com/open?id=1EUNQ_WLp7Z_eaFBr4GxAOwQf2hohRZLu" TargetMode="External"/><Relationship Id="rId168" Type="http://schemas.openxmlformats.org/officeDocument/2006/relationships/hyperlink" Target="https://drive.google.com/open?id=1KYFrVw1pL_0Q5oqO_iS8O72xbLCBhlDg"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93" Type="http://schemas.openxmlformats.org/officeDocument/2006/relationships/hyperlink" Target="https://drive.google.com/open?id=1jHJg4Ti1HFMCdoVtovSQT6DcEg0-a5gp" TargetMode="External"/><Relationship Id="rId98" Type="http://schemas.openxmlformats.org/officeDocument/2006/relationships/hyperlink" Target="https://drive.google.com/open?id=1tEudZOft8xZpMDsQSQPQeCTefP2_pegg" TargetMode="External"/><Relationship Id="rId121" Type="http://schemas.openxmlformats.org/officeDocument/2006/relationships/hyperlink" Target="https://drive.google.com/open?id=1JyPmA8uNhOVvTRycpVmimBTyYoXMHg0y" TargetMode="External"/><Relationship Id="rId142" Type="http://schemas.openxmlformats.org/officeDocument/2006/relationships/hyperlink" Target="https://drive.google.com/open?id=1-1rwkehkMlzlYTR3c3C47jf_-71kQDOU" TargetMode="External"/><Relationship Id="rId163" Type="http://schemas.openxmlformats.org/officeDocument/2006/relationships/hyperlink" Target="https://drive.google.com/open?id=1A1HdoZV4K2-AV-NhQvzQZXyfq2e4TI7J" TargetMode="External"/><Relationship Id="rId3" Type="http://schemas.openxmlformats.org/officeDocument/2006/relationships/hyperlink" Target="https://drive.google.com/open?id=1KsGJ-oxout_7n7kZQlBeuIYexSo59vI8" TargetMode="External"/><Relationship Id="rId25" Type="http://schemas.openxmlformats.org/officeDocument/2006/relationships/hyperlink" Target="https://drive.google.com/open?id=1hUQTu7-Yh2d6RG0qCUag9TKWRnYl2eLN" TargetMode="External"/><Relationship Id="rId46" Type="http://schemas.openxmlformats.org/officeDocument/2006/relationships/hyperlink" Target="https://drive.google.com/open?id=1VJeC8kIARVBAXRJhaBg-HWlg535qIcyR" TargetMode="External"/><Relationship Id="rId67" Type="http://schemas.openxmlformats.org/officeDocument/2006/relationships/hyperlink" Target="https://drive.google.com/open?id=19H2kjEx3lwbXwq9aKGzDGUKndI7loOGq" TargetMode="External"/><Relationship Id="rId116" Type="http://schemas.openxmlformats.org/officeDocument/2006/relationships/hyperlink" Target="https://drive.google.com/open?id=15AlcG5YugrRMwnS_TVvHf372kGJ9nrqg" TargetMode="External"/><Relationship Id="rId137" Type="http://schemas.openxmlformats.org/officeDocument/2006/relationships/hyperlink" Target="https://drive.google.com/open?id=1vmgil_WaQ0xuPdmdkg1EXsUweEWPvmfe" TargetMode="External"/><Relationship Id="rId158" Type="http://schemas.openxmlformats.org/officeDocument/2006/relationships/hyperlink" Target="https://drive.google.com/open?id=1V9PMOnlqYqfCZoTXIqI4Jj4cEQqAC2Gi"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62" Type="http://schemas.openxmlformats.org/officeDocument/2006/relationships/hyperlink" Target="https://drive.google.com/open?id=1o_Awr_qJTuOGbya23lKOgpt8Qe3P_lbn"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111" Type="http://schemas.openxmlformats.org/officeDocument/2006/relationships/hyperlink" Target="https://drive.google.com/open?id=1KEgvIgqv-ptL598vs8XqqQyy3OhdPw6S" TargetMode="External"/><Relationship Id="rId132" Type="http://schemas.openxmlformats.org/officeDocument/2006/relationships/hyperlink" Target="https://drive.google.com/open?id=1knpkTpAujRFTgyyCdsXBosb0UgOFoN2E" TargetMode="External"/><Relationship Id="rId153" Type="http://schemas.openxmlformats.org/officeDocument/2006/relationships/hyperlink" Target="https://drive.google.com/open?id=10tliLsuE2PB_Jc-GAEJOLCkIX_U0HfhN" TargetMode="External"/><Relationship Id="rId174" Type="http://schemas.openxmlformats.org/officeDocument/2006/relationships/hyperlink" Target="https://drive.google.com/open?id=1_k81iD8sO1N3-jqZHJHpo_yONU6UPC_b" TargetMode="External"/><Relationship Id="rId15" Type="http://schemas.openxmlformats.org/officeDocument/2006/relationships/hyperlink" Target="https://drive.google.com/open?id=1Ct3HMcGgtkRN1ays-ZSxeiG2cr3txlbM" TargetMode="External"/><Relationship Id="rId36" Type="http://schemas.openxmlformats.org/officeDocument/2006/relationships/hyperlink" Target="https://drive.google.com/open?id=1HSK3BJ7Qx0WE7hATyxPl7JT9fsOOK1DZ" TargetMode="External"/><Relationship Id="rId57" Type="http://schemas.openxmlformats.org/officeDocument/2006/relationships/hyperlink" Target="https://drive.google.com/open?id=12wtFt_wPMKaaRNepL8OxbL8THTvW1rpz" TargetMode="External"/><Relationship Id="rId106" Type="http://schemas.openxmlformats.org/officeDocument/2006/relationships/hyperlink" Target="https://drive.google.com/open?id=12oZ5C6nPLv6t7TKKaCG0GUD4Ii-9w7z0" TargetMode="External"/><Relationship Id="rId127" Type="http://schemas.openxmlformats.org/officeDocument/2006/relationships/hyperlink" Target="https://drive.google.com/open?id=1OeTk1d8S6gK4Pi9SvrmwXAB_UlGSOg3H"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52" Type="http://schemas.openxmlformats.org/officeDocument/2006/relationships/hyperlink" Target="https://drive.google.com/open?id=1qYERsMZYaQUmpyStu7SKkCOMWtWdsSgj"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94" Type="http://schemas.openxmlformats.org/officeDocument/2006/relationships/hyperlink" Target="https://drive.google.com/open?id=1x9PfM7oe68fI1GDoXZmw6oPmH0KIs1iA" TargetMode="External"/><Relationship Id="rId99" Type="http://schemas.openxmlformats.org/officeDocument/2006/relationships/hyperlink" Target="https://drive.google.com/open?id=10Xlmjj0mBNKoHxU001e7vmmevZMvK43s" TargetMode="External"/><Relationship Id="rId101" Type="http://schemas.openxmlformats.org/officeDocument/2006/relationships/hyperlink" Target="https://drive.google.com/open?id=142ZUGj9G7YSmqQj_PBMrNlHaoMghoHPH" TargetMode="External"/><Relationship Id="rId122" Type="http://schemas.openxmlformats.org/officeDocument/2006/relationships/hyperlink" Target="https://drive.google.com/open?id=1pc_PLk8xNWHcoYORgNdryoio50_OJRe6" TargetMode="External"/><Relationship Id="rId143" Type="http://schemas.openxmlformats.org/officeDocument/2006/relationships/hyperlink" Target="https://drive.google.com/open?id=1fr8kqb0qYgoW1kJvGmuYSGKXphKqkO4S" TargetMode="External"/><Relationship Id="rId148" Type="http://schemas.openxmlformats.org/officeDocument/2006/relationships/hyperlink" Target="https://drive.google.com/open?id=1mQ-GjTcSvbY8EU1ZE7qg5Wn1xToM9WZ5" TargetMode="External"/><Relationship Id="rId164" Type="http://schemas.openxmlformats.org/officeDocument/2006/relationships/hyperlink" Target="https://drive.google.com/open?id=1PTIDd-AS6cynot9xfLospy-xuV3Vkr1A" TargetMode="External"/><Relationship Id="rId169" Type="http://schemas.openxmlformats.org/officeDocument/2006/relationships/hyperlink" Target="https://drive.google.com/open?id=1E-Gbl11mMALafzRVGS9zWvYHrsIvefWr"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26" Type="http://schemas.openxmlformats.org/officeDocument/2006/relationships/hyperlink" Target="https://drive.google.com/open?id=1nF8b6PoUw5jmaMs3GmfPKH9f_sIPQnnU" TargetMode="External"/><Relationship Id="rId47" Type="http://schemas.openxmlformats.org/officeDocument/2006/relationships/hyperlink" Target="https://drive.google.com/open?id=19fja4M2CuNqJHfMYCUY4xkR30-WEqb0T" TargetMode="External"/><Relationship Id="rId68" Type="http://schemas.openxmlformats.org/officeDocument/2006/relationships/hyperlink" Target="https://drive.google.com/open?id=1yh0RqesENYxgJioTiLC6eCgf_izZmf_X" TargetMode="External"/><Relationship Id="rId89" Type="http://schemas.openxmlformats.org/officeDocument/2006/relationships/hyperlink" Target="https://drive.google.com/open?id=1m-eN6jCH8z1x3lEFlvmJ5RNYEoGDthmr" TargetMode="External"/><Relationship Id="rId112" Type="http://schemas.openxmlformats.org/officeDocument/2006/relationships/hyperlink" Target="https://drive.google.com/open?id=18eY7uINq6UqqU6StJ9GOuPT_sbq1-Zdo" TargetMode="External"/><Relationship Id="rId133" Type="http://schemas.openxmlformats.org/officeDocument/2006/relationships/hyperlink" Target="https://drive.google.com/open?id=1wFF803e-lPpln5LWOzqcWBALjxkJ23cK" TargetMode="External"/><Relationship Id="rId154" Type="http://schemas.openxmlformats.org/officeDocument/2006/relationships/hyperlink" Target="https://drive.google.com/open?id=1Qp5ezsgZAQ38PrHjL_3U5p91DxI5bHmh" TargetMode="External"/><Relationship Id="rId175" Type="http://schemas.openxmlformats.org/officeDocument/2006/relationships/table" Target="../tables/table1.xml"/><Relationship Id="rId16" Type="http://schemas.openxmlformats.org/officeDocument/2006/relationships/hyperlink" Target="https://drive.google.com/open?id=1cAg185xHKS5Jvh4Ti7ijYMyyD7sf934v" TargetMode="External"/><Relationship Id="rId37" Type="http://schemas.openxmlformats.org/officeDocument/2006/relationships/hyperlink" Target="https://drive.google.com/open?id=13PPlqo63EbZRR7L89FEGqMnXDfQv8n-r" TargetMode="External"/><Relationship Id="rId58" Type="http://schemas.openxmlformats.org/officeDocument/2006/relationships/hyperlink" Target="https://drive.google.com/open?id=11NCk5q4BXejTZqIpnwKMwpnaeKMX6obP" TargetMode="External"/><Relationship Id="rId79" Type="http://schemas.openxmlformats.org/officeDocument/2006/relationships/hyperlink" Target="https://drive.google.com/open?id=1xs2ayM4xI8WCoz54-Cy2bCmBOVwH4tJE" TargetMode="External"/><Relationship Id="rId102" Type="http://schemas.openxmlformats.org/officeDocument/2006/relationships/hyperlink" Target="https://drive.google.com/open?id=1r0QOTrD_EHj73uRDoPT5l74DoIWcc3wT" TargetMode="External"/><Relationship Id="rId123" Type="http://schemas.openxmlformats.org/officeDocument/2006/relationships/hyperlink" Target="https://drive.google.com/open?id=1wsYwrN88WDFb7NWHf8osRL8GnpzbB1e_" TargetMode="External"/><Relationship Id="rId144" Type="http://schemas.openxmlformats.org/officeDocument/2006/relationships/hyperlink" Target="https://drive.google.com/open?id=1GrHh-fNVvY4NmvaaOiftMkxS_2xxmyxP" TargetMode="External"/><Relationship Id="rId90" Type="http://schemas.openxmlformats.org/officeDocument/2006/relationships/hyperlink" Target="https://drive.google.com/open?id=1Srw9ivWGChc4dxUZ3qKDvzJAoXfnwUL0" TargetMode="External"/><Relationship Id="rId165" Type="http://schemas.openxmlformats.org/officeDocument/2006/relationships/hyperlink" Target="https://drive.google.com/open?id=1OVqFnS5KM8dMxyy7T1aZEPfk1W1x8s1F" TargetMode="External"/><Relationship Id="rId27" Type="http://schemas.openxmlformats.org/officeDocument/2006/relationships/hyperlink" Target="https://drive.google.com/open?id=1bm95wbg0W4QfOhTQ-l3iSNpuXZbayYdA" TargetMode="External"/><Relationship Id="rId48" Type="http://schemas.openxmlformats.org/officeDocument/2006/relationships/hyperlink" Target="https://drive.google.com/open?id=1vu-Eev9UKvXcT1YJ8o4Tt9Y-UNmKsclY" TargetMode="External"/><Relationship Id="rId69" Type="http://schemas.openxmlformats.org/officeDocument/2006/relationships/hyperlink" Target="https://drive.google.com/open?id=1UA9NOOfm_FUsc0sAasPLGcVIysznqYuP" TargetMode="External"/><Relationship Id="rId113" Type="http://schemas.openxmlformats.org/officeDocument/2006/relationships/hyperlink" Target="https://drive.google.com/open?id=15WtN5v6Aw0eRGykvQp2rGSm_0U6UaInr" TargetMode="External"/><Relationship Id="rId134" Type="http://schemas.openxmlformats.org/officeDocument/2006/relationships/hyperlink" Target="https://drive.google.com/open?id=1MwSEkrsBBQvBBAIH6sUjmiE0-F2pEfCp" TargetMode="External"/><Relationship Id="rId80" Type="http://schemas.openxmlformats.org/officeDocument/2006/relationships/hyperlink" Target="https://drive.google.com/open?id=1Y8Cfh87znZW3suakDsP6fLxmlQ9Phsz-" TargetMode="External"/><Relationship Id="rId155" Type="http://schemas.openxmlformats.org/officeDocument/2006/relationships/hyperlink" Target="https://drive.google.com/open?id=1H08P5rlpRN_laQ_a1DAfCZydYE8kle1J" TargetMode="External"/><Relationship Id="rId17" Type="http://schemas.openxmlformats.org/officeDocument/2006/relationships/hyperlink" Target="https://drive.google.com/open?id=1FMSZOl4jm7NCv0YV2I76OTv48kR4YjC0" TargetMode="External"/><Relationship Id="rId38" Type="http://schemas.openxmlformats.org/officeDocument/2006/relationships/hyperlink" Target="https://drive.google.com/open?id=17d52t5PmTfXPB9_QbA6OqPf9kiImuzOs" TargetMode="External"/><Relationship Id="rId59" Type="http://schemas.openxmlformats.org/officeDocument/2006/relationships/hyperlink" Target="https://drive.google.com/open?id=1gY7a-UzONH12AZX1pFa3JgqUrQtTqrdB" TargetMode="External"/><Relationship Id="rId103" Type="http://schemas.openxmlformats.org/officeDocument/2006/relationships/hyperlink" Target="https://drive.google.com/open?id=14MxsC3C0f207VMLAOa5bWYleWv216rnN" TargetMode="External"/><Relationship Id="rId124" Type="http://schemas.openxmlformats.org/officeDocument/2006/relationships/hyperlink" Target="https://drive.google.com/open?id=16tLU2tsRGSZYpel88kvrTizbREZsrQ7x" TargetMode="External"/><Relationship Id="rId70" Type="http://schemas.openxmlformats.org/officeDocument/2006/relationships/hyperlink" Target="https://drive.google.com/open?id=1CN6XrDQMMT9mjrjBPVLl49l3NvnzY1BA" TargetMode="External"/><Relationship Id="rId91" Type="http://schemas.openxmlformats.org/officeDocument/2006/relationships/hyperlink" Target="https://drive.google.com/open?id=1lggRjpO-1vj3C15DfSKMfH4QeuUpD_tr" TargetMode="External"/><Relationship Id="rId145" Type="http://schemas.openxmlformats.org/officeDocument/2006/relationships/hyperlink" Target="https://drive.google.com/open?id=1Wskr8uc0GZARG5xMSg7mC1mqiEcPBwIx" TargetMode="External"/><Relationship Id="rId166" Type="http://schemas.openxmlformats.org/officeDocument/2006/relationships/hyperlink" Target="https://drive.google.com/open?id=1vKkd3BF0vSLMJrZVAjhV9LScvzP4jr0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49"/>
  <sheetViews>
    <sheetView tabSelected="1" workbookViewId="0">
      <pane ySplit="1" topLeftCell="A2" activePane="bottomLeft" state="frozen"/>
      <selection pane="bottomLeft" sqref="A1:AG49"/>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1" bestFit="1" customWidth="1"/>
    <col min="35" max="35" width="35.6640625" style="12" bestFit="1" customWidth="1"/>
    <col min="36" max="36" width="76" style="12" bestFit="1" customWidth="1"/>
    <col min="37" max="39" width="18.88671875" customWidth="1"/>
  </cols>
  <sheetData>
    <row r="1" spans="1:36" s="5" customFormat="1" ht="22.5" customHeight="1" x14ac:dyDescent="0.25">
      <c r="A1" s="13" t="s">
        <v>0</v>
      </c>
      <c r="B1" s="13" t="s">
        <v>1</v>
      </c>
      <c r="C1" s="14" t="s">
        <v>2</v>
      </c>
      <c r="D1" s="14" t="s">
        <v>3</v>
      </c>
      <c r="E1" s="14" t="s">
        <v>4</v>
      </c>
      <c r="F1" s="14" t="s">
        <v>5</v>
      </c>
      <c r="G1" s="14" t="s">
        <v>6</v>
      </c>
      <c r="H1" s="14" t="s">
        <v>7</v>
      </c>
      <c r="I1" s="14" t="s">
        <v>118</v>
      </c>
      <c r="J1" s="14" t="s">
        <v>119</v>
      </c>
      <c r="K1" s="14" t="s">
        <v>120</v>
      </c>
      <c r="L1" s="13" t="s">
        <v>132</v>
      </c>
      <c r="M1" s="13" t="s">
        <v>133</v>
      </c>
      <c r="N1" s="13" t="s">
        <v>134</v>
      </c>
      <c r="O1" s="14" t="s">
        <v>8</v>
      </c>
      <c r="P1" s="14" t="s">
        <v>9</v>
      </c>
      <c r="Q1" s="14" t="s">
        <v>10</v>
      </c>
      <c r="R1" s="13" t="s">
        <v>135</v>
      </c>
      <c r="S1" s="13" t="s">
        <v>136</v>
      </c>
      <c r="T1" s="14" t="s">
        <v>11</v>
      </c>
      <c r="U1" s="14" t="s">
        <v>12</v>
      </c>
      <c r="V1" s="13" t="s">
        <v>137</v>
      </c>
      <c r="W1" s="13" t="s">
        <v>138</v>
      </c>
      <c r="X1" s="14" t="s">
        <v>13</v>
      </c>
      <c r="Y1" s="13" t="s">
        <v>139</v>
      </c>
      <c r="Z1" s="14" t="s">
        <v>14</v>
      </c>
      <c r="AA1" s="13" t="s">
        <v>140</v>
      </c>
      <c r="AB1" s="13" t="s">
        <v>141</v>
      </c>
      <c r="AC1" s="14" t="s">
        <v>121</v>
      </c>
      <c r="AD1" s="14" t="s">
        <v>122</v>
      </c>
      <c r="AE1" s="14" t="s">
        <v>123</v>
      </c>
      <c r="AF1" s="14" t="s">
        <v>124</v>
      </c>
      <c r="AG1" s="14" t="s">
        <v>125</v>
      </c>
      <c r="AH1" s="11" t="s">
        <v>48</v>
      </c>
      <c r="AI1" s="12" t="s">
        <v>49</v>
      </c>
      <c r="AJ1" s="12"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5" t="str">
        <f>IFERROR(VLOOKUP(Form_Responses[[#This Row],[Nombre Técnico]],'masa de trabajo'!$B:$C,2,0),"")</f>
        <v>SI</v>
      </c>
      <c r="AI2" s="12" t="str">
        <f>VLOOKUP(Form_Responses[[#This Row],[Nombre Técnico]],'masa de trabajo'!$B:$E,3,0)</f>
        <v>SI</v>
      </c>
      <c r="AJ2" s="12" t="str">
        <f>VLOOKUP(Form_Responses[[#This Row],[Nombre Técnico]],'masa de trabajo'!$B:$E,4,0)</f>
        <v>-</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5" t="str">
        <f>IFERROR(VLOOKUP(Form_Responses[[#This Row],[Nombre Técnico]],'masa de trabajo'!$B:$C,2,0),"")</f>
        <v>SI</v>
      </c>
      <c r="AI3" s="12" t="str">
        <f>VLOOKUP(Form_Responses[[#This Row],[Nombre Técnico]],'masa de trabajo'!$B:$E,3,0)</f>
        <v>SI</v>
      </c>
      <c r="AJ3" s="12" t="str">
        <f>VLOOKUP(Form_Responses[[#This Row],[Nombre Técnico]],'masa de trabajo'!$B:$E,4,0)</f>
        <v>Auque se nota una mejora, se realizara evantualemete seguimiento a los trabajos</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5" t="str">
        <f>IFERROR(VLOOKUP(Form_Responses[[#This Row],[Nombre Técnico]],'masa de trabajo'!$B:$C,2,0),"")</f>
        <v>SI</v>
      </c>
      <c r="AI4" s="12" t="str">
        <f>VLOOKUP(Form_Responses[[#This Row],[Nombre Técnico]],'masa de trabajo'!$B:$E,3,0)</f>
        <v>SI</v>
      </c>
      <c r="AJ4" s="12" t="str">
        <f>VLOOKUP(Form_Responses[[#This Row],[Nombre Técnico]],'masa de trabajo'!$B:$E,4,0)</f>
        <v>Auque se nota una mejora, se realizara evantualemete seguimiento a los trabajos</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5" t="str">
        <f>IFERROR(VLOOKUP(Form_Responses[[#This Row],[Nombre Técnico]],'masa de trabajo'!$B:$C,2,0),"")</f>
        <v>SI</v>
      </c>
      <c r="AI5" s="12" t="str">
        <f>VLOOKUP(Form_Responses[[#This Row],[Nombre Técnico]],'masa de trabajo'!$B:$E,3,0)</f>
        <v>-</v>
      </c>
      <c r="AJ5" s="12" t="str">
        <f>VLOOKUP(Form_Responses[[#This Row],[Nombre Técnico]],'masa de trabajo'!$B:$E,4,0)</f>
        <v>-</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5" t="str">
        <f>IFERROR(VLOOKUP(Form_Responses[[#This Row],[Nombre Técnico]],'masa de trabajo'!$B:$C,2,0),"")</f>
        <v>SI</v>
      </c>
      <c r="AI6" s="12" t="str">
        <f>VLOOKUP(Form_Responses[[#This Row],[Nombre Técnico]],'masa de trabajo'!$B:$E,3,0)</f>
        <v>SI</v>
      </c>
      <c r="AJ6" s="12" t="str">
        <f>VLOOKUP(Form_Responses[[#This Row],[Nombre Técnico]],'masa de trabajo'!$B:$E,4,0)</f>
        <v>-</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5" t="str">
        <f>IFERROR(VLOOKUP(Form_Responses[[#This Row],[Nombre Técnico]],'masa de trabajo'!$B:$C,2,0),"")</f>
        <v>SI</v>
      </c>
      <c r="AI7" s="12" t="str">
        <f>VLOOKUP(Form_Responses[[#This Row],[Nombre Técnico]],'masa de trabajo'!$B:$E,3,0)</f>
        <v>-</v>
      </c>
      <c r="AJ7" s="12" t="str">
        <f>VLOOKUP(Form_Responses[[#This Row],[Nombre Técnico]],'masa de trabajo'!$B:$E,4,0)</f>
        <v>-</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5" t="str">
        <f>IFERROR(VLOOKUP(Form_Responses[[#This Row],[Nombre Técnico]],'masa de trabajo'!$B:$C,2,0),"")</f>
        <v>SI</v>
      </c>
      <c r="AI8" s="12" t="str">
        <f>VLOOKUP(Form_Responses[[#This Row],[Nombre Técnico]],'masa de trabajo'!$B:$E,3,0)</f>
        <v>SI</v>
      </c>
      <c r="AJ8" s="12" t="str">
        <f>VLOOKUP(Form_Responses[[#This Row],[Nombre Técnico]],'masa de trabajo'!$B:$E,4,0)</f>
        <v>-</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5" t="str">
        <f>IFERROR(VLOOKUP(Form_Responses[[#This Row],[Nombre Técnico]],'masa de trabajo'!$B:$C,2,0),"")</f>
        <v>SI</v>
      </c>
      <c r="AI9" s="12" t="str">
        <f>VLOOKUP(Form_Responses[[#This Row],[Nombre Técnico]],'masa de trabajo'!$B:$E,3,0)</f>
        <v>-</v>
      </c>
      <c r="AJ9" s="12" t="str">
        <f>VLOOKUP(Form_Responses[[#This Row],[Nombre Técnico]],'masa de trabajo'!$B:$E,4,0)</f>
        <v>-</v>
      </c>
    </row>
    <row r="10" spans="1:36" ht="15.75" customHeight="1" x14ac:dyDescent="0.25">
      <c r="A10" s="1">
        <v>46247.535424652779</v>
      </c>
      <c r="B10" s="2">
        <v>0</v>
      </c>
      <c r="C10" s="3" t="s">
        <v>100</v>
      </c>
      <c r="D10" s="3" t="s">
        <v>101</v>
      </c>
      <c r="E10" s="3" t="s">
        <v>17</v>
      </c>
      <c r="F10" s="3" t="s">
        <v>18</v>
      </c>
      <c r="G10" s="3" t="s">
        <v>18</v>
      </c>
      <c r="I10" s="3" t="s">
        <v>19</v>
      </c>
      <c r="J10" s="3" t="s">
        <v>20</v>
      </c>
      <c r="K10" s="3" t="s">
        <v>21</v>
      </c>
      <c r="L10" s="3" t="s">
        <v>102</v>
      </c>
      <c r="N10" s="3" t="s">
        <v>21</v>
      </c>
      <c r="P10" s="3">
        <v>2</v>
      </c>
      <c r="Q10" s="3" t="s">
        <v>23</v>
      </c>
      <c r="R10" s="3" t="s">
        <v>23</v>
      </c>
      <c r="S10" s="3" t="s">
        <v>103</v>
      </c>
      <c r="T10" s="3">
        <v>4</v>
      </c>
      <c r="U10" s="4" t="s">
        <v>104</v>
      </c>
      <c r="V10" s="4" t="s">
        <v>105</v>
      </c>
      <c r="X10" s="4" t="s">
        <v>106</v>
      </c>
      <c r="Y10" s="3" t="s">
        <v>30</v>
      </c>
      <c r="Z10" s="3" t="s">
        <v>30</v>
      </c>
      <c r="AA10" s="3">
        <v>6</v>
      </c>
      <c r="AB10" s="3" t="s">
        <v>107</v>
      </c>
      <c r="AC10" s="3"/>
      <c r="AD10" s="3"/>
      <c r="AE10" s="3"/>
      <c r="AF10" s="3"/>
      <c r="AG10" s="3"/>
      <c r="AH10" s="15" t="str">
        <f>IFERROR(VLOOKUP(Form_Responses[[#This Row],[Nombre Técnico]],'masa de trabajo'!$B:$C,2,0),"")</f>
        <v>SI</v>
      </c>
      <c r="AI10" s="12" t="str">
        <f>VLOOKUP(Form_Responses[[#This Row],[Nombre Técnico]],'masa de trabajo'!$B:$E,3,0)</f>
        <v>SI</v>
      </c>
      <c r="AJ10" s="12" t="str">
        <f>VLOOKUP(Form_Responses[[#This Row],[Nombre Técnico]],'masa de trabajo'!$B:$E,4,0)</f>
        <v>-</v>
      </c>
    </row>
    <row r="11" spans="1:36" ht="15.75" customHeight="1" x14ac:dyDescent="0.25">
      <c r="A11" s="1">
        <v>46247.71862049769</v>
      </c>
      <c r="B11" s="2">
        <v>0</v>
      </c>
      <c r="C11" s="3" t="s">
        <v>108</v>
      </c>
      <c r="D11" s="3" t="s">
        <v>109</v>
      </c>
      <c r="E11" s="3" t="s">
        <v>53</v>
      </c>
      <c r="F11" s="3" t="s">
        <v>18</v>
      </c>
      <c r="G11" s="3" t="s">
        <v>18</v>
      </c>
      <c r="I11" s="3" t="s">
        <v>19</v>
      </c>
      <c r="J11" s="3" t="s">
        <v>41</v>
      </c>
      <c r="K11" s="3" t="s">
        <v>21</v>
      </c>
      <c r="L11" s="3" t="s">
        <v>110</v>
      </c>
      <c r="M11" s="3" t="s">
        <v>23</v>
      </c>
      <c r="N11" s="3" t="s">
        <v>21</v>
      </c>
      <c r="Q11" s="3" t="s">
        <v>23</v>
      </c>
      <c r="R11" s="3" t="s">
        <v>23</v>
      </c>
      <c r="S11" s="3" t="s">
        <v>111</v>
      </c>
      <c r="T11" s="3">
        <v>4</v>
      </c>
      <c r="U11" s="4" t="s">
        <v>112</v>
      </c>
      <c r="V11" s="4" t="s">
        <v>113</v>
      </c>
      <c r="W11" s="4" t="s">
        <v>114</v>
      </c>
      <c r="X11" s="4" t="s">
        <v>115</v>
      </c>
      <c r="Y11" s="3" t="s">
        <v>30</v>
      </c>
      <c r="Z11" s="3" t="s">
        <v>30</v>
      </c>
      <c r="AA11" s="3">
        <v>10</v>
      </c>
      <c r="AB11" s="3" t="s">
        <v>116</v>
      </c>
      <c r="AC11" s="3"/>
      <c r="AD11" s="3"/>
      <c r="AE11" s="3"/>
      <c r="AF11" s="3"/>
      <c r="AG11" s="3"/>
      <c r="AH11" s="15" t="str">
        <f>IFERROR(VLOOKUP(Form_Responses[[#This Row],[Nombre Técnico]],'masa de trabajo'!$B:$C,2,0),"")</f>
        <v>-</v>
      </c>
      <c r="AI11" s="12" t="str">
        <f>VLOOKUP(Form_Responses[[#This Row],[Nombre Técnico]],'masa de trabajo'!$B:$E,3,0)</f>
        <v>-</v>
      </c>
      <c r="AJ11" s="12" t="str">
        <f>VLOOKUP(Form_Responses[[#This Row],[Nombre Técnico]],'masa de trabajo'!$B:$E,4,0)</f>
        <v>-</v>
      </c>
    </row>
    <row r="12" spans="1:36" ht="15.75" customHeight="1" x14ac:dyDescent="0.25">
      <c r="A12" s="1">
        <v>46248.497756516204</v>
      </c>
      <c r="B12" s="10">
        <v>8</v>
      </c>
      <c r="C12" s="3" t="s">
        <v>126</v>
      </c>
      <c r="D12" s="3" t="s">
        <v>127</v>
      </c>
      <c r="E12" s="3" t="s">
        <v>17</v>
      </c>
      <c r="F12" s="3" t="s">
        <v>18</v>
      </c>
      <c r="G12" s="3" t="s">
        <v>18</v>
      </c>
      <c r="I12" s="3" t="s">
        <v>128</v>
      </c>
      <c r="J12" s="3" t="s">
        <v>41</v>
      </c>
      <c r="K12" s="3" t="s">
        <v>23</v>
      </c>
      <c r="L12" s="3" t="s">
        <v>129</v>
      </c>
      <c r="M12" s="3" t="s">
        <v>23</v>
      </c>
      <c r="N12" s="3" t="s">
        <v>23</v>
      </c>
      <c r="Q12" s="3" t="s">
        <v>23</v>
      </c>
      <c r="R12" s="3" t="s">
        <v>23</v>
      </c>
      <c r="S12" s="3" t="s">
        <v>130</v>
      </c>
      <c r="T12" s="3">
        <v>4</v>
      </c>
      <c r="AB12" s="3" t="s">
        <v>131</v>
      </c>
      <c r="AC12" s="3" t="s">
        <v>23</v>
      </c>
      <c r="AD12" s="3" t="s">
        <v>23</v>
      </c>
      <c r="AE12" s="3" t="s">
        <v>21</v>
      </c>
      <c r="AF12" s="3" t="s">
        <v>23</v>
      </c>
      <c r="AG12" s="3" t="s">
        <v>21</v>
      </c>
      <c r="AH12" s="15" t="str">
        <f>IFERROR(VLOOKUP(Form_Responses[[#This Row],[Nombre Técnico]],'masa de trabajo'!$B:$C,2,0),"")</f>
        <v>SI</v>
      </c>
      <c r="AI12" s="12" t="str">
        <f>VLOOKUP(Form_Responses[[#This Row],[Nombre Técnico]],'masa de trabajo'!$B:$E,3,0)</f>
        <v>SI</v>
      </c>
      <c r="AJ12" s="12" t="str">
        <f>VLOOKUP(Form_Responses[[#This Row],[Nombre Técnico]],'masa de trabajo'!$B:$E,4,0)</f>
        <v>-</v>
      </c>
    </row>
    <row r="13" spans="1:36" ht="15.75" customHeight="1" x14ac:dyDescent="0.25">
      <c r="A13" s="1">
        <v>46251.615196585648</v>
      </c>
      <c r="B13" s="10">
        <v>7</v>
      </c>
      <c r="C13" s="3" t="s">
        <v>142</v>
      </c>
      <c r="D13" s="3" t="s">
        <v>143</v>
      </c>
      <c r="E13" s="3" t="s">
        <v>53</v>
      </c>
      <c r="F13" s="3" t="s">
        <v>18</v>
      </c>
      <c r="G13" s="3" t="s">
        <v>18</v>
      </c>
      <c r="I13" s="3" t="s">
        <v>128</v>
      </c>
      <c r="J13" s="3" t="s">
        <v>41</v>
      </c>
      <c r="K13" s="3" t="s">
        <v>23</v>
      </c>
      <c r="L13" s="3" t="s">
        <v>144</v>
      </c>
      <c r="M13" s="3" t="s">
        <v>21</v>
      </c>
      <c r="N13" s="3" t="s">
        <v>23</v>
      </c>
      <c r="Q13" s="3" t="s">
        <v>23</v>
      </c>
      <c r="R13" s="3" t="s">
        <v>23</v>
      </c>
      <c r="S13" s="3" t="s">
        <v>145</v>
      </c>
      <c r="T13" s="3">
        <v>4</v>
      </c>
      <c r="U13" s="4" t="s">
        <v>146</v>
      </c>
      <c r="V13" s="4" t="s">
        <v>147</v>
      </c>
      <c r="W13" s="4" t="s">
        <v>148</v>
      </c>
      <c r="X13" s="4" t="s">
        <v>149</v>
      </c>
      <c r="Y13" s="3" t="s">
        <v>30</v>
      </c>
      <c r="Z13" s="3" t="s">
        <v>30</v>
      </c>
      <c r="AA13" s="3">
        <v>8</v>
      </c>
      <c r="AB13" s="3" t="s">
        <v>150</v>
      </c>
      <c r="AD13" s="3" t="s">
        <v>23</v>
      </c>
      <c r="AE13" s="3" t="s">
        <v>21</v>
      </c>
      <c r="AG13" s="3" t="s">
        <v>21</v>
      </c>
      <c r="AH13" s="15" t="str">
        <f>IFERROR(VLOOKUP(Form_Responses[[#This Row],[Nombre Técnico]],'masa de trabajo'!$B:$C,2,0),"")</f>
        <v>-</v>
      </c>
      <c r="AI13" s="12" t="str">
        <f>VLOOKUP(Form_Responses[[#This Row],[Nombre Técnico]],'masa de trabajo'!$B:$E,3,0)</f>
        <v>-</v>
      </c>
      <c r="AJ13" s="12" t="str">
        <f>VLOOKUP(Form_Responses[[#This Row],[Nombre Técnico]],'masa de trabajo'!$B:$E,4,0)</f>
        <v>-</v>
      </c>
    </row>
    <row r="14" spans="1:36" ht="15.75" customHeight="1" x14ac:dyDescent="0.25">
      <c r="A14" s="1">
        <v>46251.636683425924</v>
      </c>
      <c r="B14" s="10">
        <v>1</v>
      </c>
      <c r="C14" s="3" t="s">
        <v>151</v>
      </c>
      <c r="D14" s="3" t="s">
        <v>143</v>
      </c>
      <c r="E14" s="3" t="s">
        <v>53</v>
      </c>
      <c r="F14" s="3" t="s">
        <v>18</v>
      </c>
      <c r="G14" s="3" t="s">
        <v>77</v>
      </c>
      <c r="I14" s="3" t="s">
        <v>128</v>
      </c>
      <c r="J14" s="3" t="s">
        <v>41</v>
      </c>
      <c r="K14" s="3" t="s">
        <v>21</v>
      </c>
      <c r="L14" s="3" t="s">
        <v>152</v>
      </c>
      <c r="M14" s="3" t="s">
        <v>21</v>
      </c>
      <c r="W14" s="4" t="s">
        <v>153</v>
      </c>
      <c r="X14" s="4" t="s">
        <v>154</v>
      </c>
      <c r="Y14" s="3" t="s">
        <v>72</v>
      </c>
      <c r="AA14" s="3">
        <v>7</v>
      </c>
      <c r="AB14" s="3" t="s">
        <v>155</v>
      </c>
      <c r="AD14" s="3" t="s">
        <v>23</v>
      </c>
      <c r="AE14" s="3" t="s">
        <v>21</v>
      </c>
      <c r="AG14" s="3" t="s">
        <v>21</v>
      </c>
      <c r="AH14" s="15" t="str">
        <f>IFERROR(VLOOKUP(Form_Responses[[#This Row],[Nombre Técnico]],'masa de trabajo'!$B:$C,2,0),"")</f>
        <v>-</v>
      </c>
      <c r="AI14" s="12" t="str">
        <f>VLOOKUP(Form_Responses[[#This Row],[Nombre Técnico]],'masa de trabajo'!$B:$E,3,0)</f>
        <v>-</v>
      </c>
      <c r="AJ14" s="12" t="str">
        <f>VLOOKUP(Form_Responses[[#This Row],[Nombre Técnico]],'masa de trabajo'!$B:$E,4,0)</f>
        <v>-</v>
      </c>
    </row>
    <row r="15" spans="1:36" ht="15.75" customHeight="1" x14ac:dyDescent="0.25">
      <c r="A15" s="1">
        <v>46252.401138136571</v>
      </c>
      <c r="B15" s="10">
        <v>9</v>
      </c>
      <c r="C15" s="3" t="s">
        <v>156</v>
      </c>
      <c r="D15" s="3" t="s">
        <v>157</v>
      </c>
      <c r="E15" s="3" t="s">
        <v>17</v>
      </c>
      <c r="F15" s="3" t="s">
        <v>18</v>
      </c>
      <c r="G15" s="3" t="s">
        <v>18</v>
      </c>
      <c r="I15" s="3" t="s">
        <v>19</v>
      </c>
      <c r="J15" s="3" t="s">
        <v>20</v>
      </c>
      <c r="K15" s="3" t="s">
        <v>23</v>
      </c>
      <c r="L15" s="3" t="s">
        <v>158</v>
      </c>
      <c r="N15" s="3" t="s">
        <v>23</v>
      </c>
      <c r="Q15" s="3" t="s">
        <v>23</v>
      </c>
      <c r="R15" s="3" t="s">
        <v>23</v>
      </c>
      <c r="S15" s="3" t="s">
        <v>159</v>
      </c>
      <c r="T15" s="3">
        <v>4</v>
      </c>
      <c r="U15" s="4" t="s">
        <v>160</v>
      </c>
      <c r="V15" s="4" t="s">
        <v>161</v>
      </c>
      <c r="X15" s="4" t="s">
        <v>162</v>
      </c>
      <c r="Y15" s="3" t="s">
        <v>30</v>
      </c>
      <c r="Z15" s="3" t="s">
        <v>30</v>
      </c>
      <c r="AA15" s="3">
        <v>7</v>
      </c>
      <c r="AB15" s="3" t="s">
        <v>163</v>
      </c>
      <c r="AC15" s="3" t="s">
        <v>23</v>
      </c>
      <c r="AD15" s="3" t="s">
        <v>23</v>
      </c>
      <c r="AE15" s="3" t="s">
        <v>21</v>
      </c>
      <c r="AF15" s="3" t="s">
        <v>23</v>
      </c>
      <c r="AG15" s="3" t="s">
        <v>21</v>
      </c>
      <c r="AH15" s="15" t="str">
        <f>IFERROR(VLOOKUP(Form_Responses[[#This Row],[Nombre Técnico]],'masa de trabajo'!$B:$C,2,0),"")</f>
        <v>-</v>
      </c>
      <c r="AI15" s="12" t="str">
        <f>VLOOKUP(Form_Responses[[#This Row],[Nombre Técnico]],'masa de trabajo'!$B:$E,3,0)</f>
        <v>-</v>
      </c>
      <c r="AJ15" s="12" t="str">
        <f>VLOOKUP(Form_Responses[[#This Row],[Nombre Técnico]],'masa de trabajo'!$B:$E,4,0)</f>
        <v>-</v>
      </c>
    </row>
    <row r="16" spans="1:36" ht="15.75" customHeight="1" x14ac:dyDescent="0.25">
      <c r="A16" s="1">
        <v>46252.407164965276</v>
      </c>
      <c r="B16" s="10">
        <v>7</v>
      </c>
      <c r="C16" s="3" t="s">
        <v>164</v>
      </c>
      <c r="D16" s="3" t="s">
        <v>165</v>
      </c>
      <c r="E16" s="3" t="s">
        <v>17</v>
      </c>
      <c r="F16" s="3" t="s">
        <v>77</v>
      </c>
      <c r="G16" s="3" t="s">
        <v>18</v>
      </c>
      <c r="I16" s="3" t="s">
        <v>19</v>
      </c>
      <c r="J16" s="3" t="s">
        <v>20</v>
      </c>
      <c r="K16" s="3" t="s">
        <v>23</v>
      </c>
      <c r="L16" s="3" t="s">
        <v>166</v>
      </c>
      <c r="M16" s="3" t="s">
        <v>23</v>
      </c>
      <c r="N16" s="3" t="s">
        <v>23</v>
      </c>
      <c r="R16" s="3" t="s">
        <v>23</v>
      </c>
      <c r="S16" s="3" t="s">
        <v>167</v>
      </c>
      <c r="T16" s="3">
        <v>3</v>
      </c>
      <c r="U16" s="4" t="s">
        <v>168</v>
      </c>
      <c r="V16" s="4" t="s">
        <v>169</v>
      </c>
      <c r="W16" s="4" t="s">
        <v>170</v>
      </c>
      <c r="X16" s="4" t="s">
        <v>171</v>
      </c>
      <c r="Y16" s="3" t="s">
        <v>72</v>
      </c>
      <c r="Z16" s="3" t="s">
        <v>72</v>
      </c>
      <c r="AA16" s="3">
        <v>4</v>
      </c>
      <c r="AB16" s="3" t="s">
        <v>172</v>
      </c>
      <c r="AC16" s="3" t="s">
        <v>23</v>
      </c>
      <c r="AD16" s="3" t="s">
        <v>23</v>
      </c>
      <c r="AE16" s="3" t="s">
        <v>21</v>
      </c>
      <c r="AF16" s="3" t="s">
        <v>23</v>
      </c>
      <c r="AG16" s="3" t="s">
        <v>21</v>
      </c>
      <c r="AH16" s="15" t="str">
        <f>IFERROR(VLOOKUP(Form_Responses[[#This Row],[Nombre Técnico]],'masa de trabajo'!$B:$C,2,0),"")</f>
        <v>-</v>
      </c>
      <c r="AI16" s="12" t="str">
        <f>VLOOKUP(Form_Responses[[#This Row],[Nombre Técnico]],'masa de trabajo'!$B:$E,3,0)</f>
        <v>-</v>
      </c>
      <c r="AJ16" s="12" t="str">
        <f>VLOOKUP(Form_Responses[[#This Row],[Nombre Técnico]],'masa de trabajo'!$B:$E,4,0)</f>
        <v>-</v>
      </c>
    </row>
    <row r="17" spans="1:36" ht="15.75" customHeight="1" x14ac:dyDescent="0.25">
      <c r="A17" s="1">
        <v>46252.439018576391</v>
      </c>
      <c r="B17" s="10">
        <v>6</v>
      </c>
      <c r="C17" s="3" t="s">
        <v>173</v>
      </c>
      <c r="D17" s="3" t="s">
        <v>174</v>
      </c>
      <c r="E17" s="3" t="s">
        <v>64</v>
      </c>
      <c r="F17" s="3" t="s">
        <v>18</v>
      </c>
      <c r="G17" s="3" t="s">
        <v>18</v>
      </c>
      <c r="H17" s="3" t="s">
        <v>175</v>
      </c>
      <c r="I17" s="3" t="s">
        <v>128</v>
      </c>
      <c r="J17" s="3" t="s">
        <v>20</v>
      </c>
      <c r="K17" s="3" t="s">
        <v>23</v>
      </c>
      <c r="L17" s="3" t="s">
        <v>176</v>
      </c>
      <c r="M17" s="3" t="s">
        <v>21</v>
      </c>
      <c r="N17" s="3" t="s">
        <v>23</v>
      </c>
      <c r="O17" s="3" t="s">
        <v>21</v>
      </c>
      <c r="P17" s="3">
        <v>1</v>
      </c>
      <c r="Q17" s="3" t="s">
        <v>77</v>
      </c>
      <c r="R17" s="3" t="s">
        <v>23</v>
      </c>
      <c r="S17" s="3" t="s">
        <v>177</v>
      </c>
      <c r="T17" s="3">
        <v>4</v>
      </c>
      <c r="U17" s="4" t="s">
        <v>178</v>
      </c>
      <c r="V17" s="4" t="s">
        <v>179</v>
      </c>
      <c r="X17" s="4" t="s">
        <v>180</v>
      </c>
      <c r="Y17" s="3" t="s">
        <v>30</v>
      </c>
      <c r="Z17" s="3" t="s">
        <v>72</v>
      </c>
      <c r="AA17" s="3">
        <v>3</v>
      </c>
      <c r="AB17" s="3" t="s">
        <v>181</v>
      </c>
      <c r="AC17" s="3" t="s">
        <v>77</v>
      </c>
      <c r="AD17" s="3" t="s">
        <v>23</v>
      </c>
      <c r="AE17" s="3" t="s">
        <v>21</v>
      </c>
      <c r="AF17" s="3" t="s">
        <v>23</v>
      </c>
      <c r="AG17" s="3" t="s">
        <v>21</v>
      </c>
      <c r="AH17" s="15" t="str">
        <f>IFERROR(VLOOKUP(Form_Responses[[#This Row],[Nombre Técnico]],'masa de trabajo'!$B:$C,2,0),"")</f>
        <v>SI</v>
      </c>
      <c r="AI17" s="12" t="str">
        <f>VLOOKUP(Form_Responses[[#This Row],[Nombre Técnico]],'masa de trabajo'!$B:$E,3,0)</f>
        <v>SI</v>
      </c>
      <c r="AJ17" s="12" t="str">
        <f>VLOOKUP(Form_Responses[[#This Row],[Nombre Técnico]],'masa de trabajo'!$B:$E,4,0)</f>
        <v>-</v>
      </c>
    </row>
    <row r="18" spans="1:36" ht="15.75" customHeight="1" x14ac:dyDescent="0.25">
      <c r="A18" s="1">
        <v>46252.569284895828</v>
      </c>
      <c r="B18" s="10">
        <v>9</v>
      </c>
      <c r="C18" s="3" t="s">
        <v>182</v>
      </c>
      <c r="D18" s="3" t="s">
        <v>143</v>
      </c>
      <c r="E18" s="3" t="s">
        <v>53</v>
      </c>
      <c r="F18" s="3" t="s">
        <v>18</v>
      </c>
      <c r="G18" s="3" t="s">
        <v>18</v>
      </c>
      <c r="I18" s="3" t="s">
        <v>19</v>
      </c>
      <c r="J18" s="3" t="s">
        <v>20</v>
      </c>
      <c r="K18" s="3" t="s">
        <v>23</v>
      </c>
      <c r="L18" s="3" t="s">
        <v>183</v>
      </c>
      <c r="M18" s="3" t="s">
        <v>23</v>
      </c>
      <c r="N18" s="3" t="s">
        <v>23</v>
      </c>
      <c r="P18" s="3">
        <v>2</v>
      </c>
      <c r="Q18" s="3" t="s">
        <v>23</v>
      </c>
      <c r="R18" s="3" t="s">
        <v>23</v>
      </c>
      <c r="T18" s="3">
        <v>4</v>
      </c>
      <c r="U18" s="4" t="s">
        <v>184</v>
      </c>
      <c r="V18" s="4" t="s">
        <v>185</v>
      </c>
      <c r="W18" s="4" t="s">
        <v>186</v>
      </c>
      <c r="X18" s="4" t="s">
        <v>187</v>
      </c>
      <c r="Y18" s="3" t="s">
        <v>30</v>
      </c>
      <c r="Z18" s="3" t="s">
        <v>30</v>
      </c>
      <c r="AA18" s="3">
        <v>9</v>
      </c>
      <c r="AB18" s="3" t="s">
        <v>188</v>
      </c>
      <c r="AC18" s="3" t="s">
        <v>77</v>
      </c>
      <c r="AD18" s="3" t="s">
        <v>23</v>
      </c>
      <c r="AE18" s="3" t="s">
        <v>21</v>
      </c>
      <c r="AF18" s="3" t="s">
        <v>23</v>
      </c>
      <c r="AG18" s="3" t="s">
        <v>21</v>
      </c>
      <c r="AH18" s="15" t="str">
        <f>IFERROR(VLOOKUP(Form_Responses[[#This Row],[Nombre Técnico]],'masa de trabajo'!$B:$C,2,0),"")</f>
        <v>-</v>
      </c>
      <c r="AI18" s="12" t="str">
        <f>VLOOKUP(Form_Responses[[#This Row],[Nombre Técnico]],'masa de trabajo'!$B:$E,3,0)</f>
        <v>-</v>
      </c>
      <c r="AJ18" s="12" t="str">
        <f>VLOOKUP(Form_Responses[[#This Row],[Nombre Técnico]],'masa de trabajo'!$B:$E,4,0)</f>
        <v>-</v>
      </c>
    </row>
    <row r="19" spans="1:36" ht="15.75" customHeight="1" x14ac:dyDescent="0.25">
      <c r="A19" s="1">
        <v>46252.579421759263</v>
      </c>
      <c r="B19" s="10">
        <v>7</v>
      </c>
      <c r="C19" s="3" t="s">
        <v>189</v>
      </c>
      <c r="D19" s="3" t="s">
        <v>63</v>
      </c>
      <c r="E19" s="3" t="s">
        <v>53</v>
      </c>
      <c r="F19" s="3" t="s">
        <v>18</v>
      </c>
      <c r="G19" s="3" t="s">
        <v>18</v>
      </c>
      <c r="I19" s="3" t="s">
        <v>128</v>
      </c>
      <c r="J19" s="3" t="s">
        <v>41</v>
      </c>
      <c r="K19" s="3" t="s">
        <v>23</v>
      </c>
      <c r="L19" s="3" t="s">
        <v>190</v>
      </c>
      <c r="M19" s="3" t="s">
        <v>23</v>
      </c>
      <c r="N19" s="3" t="s">
        <v>21</v>
      </c>
      <c r="Q19" s="3" t="s">
        <v>23</v>
      </c>
      <c r="R19" s="3" t="s">
        <v>23</v>
      </c>
      <c r="S19" s="3" t="s">
        <v>191</v>
      </c>
      <c r="T19" s="3">
        <v>4</v>
      </c>
      <c r="U19" s="4" t="s">
        <v>192</v>
      </c>
      <c r="V19" s="4" t="s">
        <v>193</v>
      </c>
      <c r="W19" s="4" t="s">
        <v>194</v>
      </c>
      <c r="X19" s="4" t="s">
        <v>195</v>
      </c>
      <c r="Y19" s="3" t="s">
        <v>30</v>
      </c>
      <c r="Z19" s="3" t="s">
        <v>30</v>
      </c>
      <c r="AA19" s="3">
        <v>9</v>
      </c>
      <c r="AB19" s="3" t="s">
        <v>196</v>
      </c>
      <c r="AD19" s="3" t="s">
        <v>23</v>
      </c>
      <c r="AE19" s="3" t="s">
        <v>21</v>
      </c>
      <c r="AG19" s="3" t="s">
        <v>21</v>
      </c>
      <c r="AH19" s="15" t="str">
        <f>IFERROR(VLOOKUP(Form_Responses[[#This Row],[Nombre Técnico]],'masa de trabajo'!$B:$C,2,0),"")</f>
        <v>SI</v>
      </c>
      <c r="AI19" s="12" t="str">
        <f>VLOOKUP(Form_Responses[[#This Row],[Nombre Técnico]],'masa de trabajo'!$B:$E,3,0)</f>
        <v>SI</v>
      </c>
      <c r="AJ19" s="12" t="str">
        <f>VLOOKUP(Form_Responses[[#This Row],[Nombre Técnico]],'masa de trabajo'!$B:$E,4,0)</f>
        <v>-</v>
      </c>
    </row>
    <row r="20" spans="1:36" ht="15.75" customHeight="1" x14ac:dyDescent="0.25">
      <c r="A20" s="1">
        <v>46252.687401099538</v>
      </c>
      <c r="B20" s="10">
        <v>8</v>
      </c>
      <c r="C20" s="3" t="s">
        <v>197</v>
      </c>
      <c r="D20" s="3" t="s">
        <v>101</v>
      </c>
      <c r="E20" s="3" t="s">
        <v>17</v>
      </c>
      <c r="F20" s="3" t="s">
        <v>18</v>
      </c>
      <c r="G20" s="3" t="s">
        <v>18</v>
      </c>
      <c r="I20" s="3" t="s">
        <v>19</v>
      </c>
      <c r="J20" s="3" t="s">
        <v>20</v>
      </c>
      <c r="K20" s="3" t="s">
        <v>23</v>
      </c>
      <c r="L20" s="3" t="s">
        <v>198</v>
      </c>
      <c r="M20" s="3" t="s">
        <v>21</v>
      </c>
      <c r="N20" s="3" t="s">
        <v>23</v>
      </c>
      <c r="P20" s="3">
        <v>3</v>
      </c>
      <c r="Q20" s="3" t="s">
        <v>23</v>
      </c>
      <c r="R20" s="3" t="s">
        <v>23</v>
      </c>
      <c r="T20" s="3">
        <v>3</v>
      </c>
      <c r="U20" s="4" t="s">
        <v>199</v>
      </c>
      <c r="V20" s="4" t="s">
        <v>200</v>
      </c>
      <c r="W20" s="4" t="s">
        <v>201</v>
      </c>
      <c r="X20" s="4" t="s">
        <v>202</v>
      </c>
      <c r="Y20" s="3" t="s">
        <v>72</v>
      </c>
      <c r="Z20" s="3" t="s">
        <v>30</v>
      </c>
      <c r="AA20" s="3">
        <v>5</v>
      </c>
      <c r="AB20" s="3" t="s">
        <v>203</v>
      </c>
      <c r="AC20" s="3" t="s">
        <v>23</v>
      </c>
      <c r="AD20" s="3" t="s">
        <v>23</v>
      </c>
      <c r="AE20" s="3" t="s">
        <v>21</v>
      </c>
      <c r="AF20" s="3" t="s">
        <v>23</v>
      </c>
      <c r="AG20" s="3" t="s">
        <v>21</v>
      </c>
      <c r="AH20" s="15" t="str">
        <f>IFERROR(VLOOKUP(Form_Responses[[#This Row],[Nombre Técnico]],'masa de trabajo'!$B:$C,2,0),"")</f>
        <v>SI</v>
      </c>
      <c r="AI20" s="12" t="str">
        <f>VLOOKUP(Form_Responses[[#This Row],[Nombre Técnico]],'masa de trabajo'!$B:$E,3,0)</f>
        <v>SI</v>
      </c>
      <c r="AJ20" s="12" t="str">
        <f>VLOOKUP(Form_Responses[[#This Row],[Nombre Técnico]],'masa de trabajo'!$B:$E,4,0)</f>
        <v>-</v>
      </c>
    </row>
    <row r="21" spans="1:36" ht="15.75" customHeight="1" x14ac:dyDescent="0.25">
      <c r="A21" s="1">
        <v>46253.408800335645</v>
      </c>
      <c r="B21" s="10">
        <v>7</v>
      </c>
      <c r="C21" s="3" t="s">
        <v>204</v>
      </c>
      <c r="D21" s="3" t="s">
        <v>84</v>
      </c>
      <c r="E21" s="3" t="s">
        <v>64</v>
      </c>
      <c r="F21" s="3" t="s">
        <v>18</v>
      </c>
      <c r="G21" s="3" t="s">
        <v>18</v>
      </c>
      <c r="I21" s="3" t="s">
        <v>19</v>
      </c>
      <c r="J21" s="3" t="s">
        <v>41</v>
      </c>
      <c r="K21" s="3" t="s">
        <v>23</v>
      </c>
      <c r="L21" s="3" t="s">
        <v>205</v>
      </c>
      <c r="M21" s="3" t="s">
        <v>23</v>
      </c>
      <c r="N21" s="3" t="s">
        <v>23</v>
      </c>
      <c r="O21" s="3" t="s">
        <v>21</v>
      </c>
      <c r="P21" s="3">
        <v>2</v>
      </c>
      <c r="Q21" s="3" t="s">
        <v>77</v>
      </c>
      <c r="R21" s="3" t="s">
        <v>23</v>
      </c>
      <c r="S21" s="3" t="s">
        <v>206</v>
      </c>
      <c r="T21" s="3">
        <v>4</v>
      </c>
      <c r="U21" s="4" t="s">
        <v>207</v>
      </c>
      <c r="V21" s="4" t="s">
        <v>208</v>
      </c>
      <c r="X21" s="4" t="s">
        <v>209</v>
      </c>
      <c r="Y21" s="3" t="s">
        <v>30</v>
      </c>
      <c r="Z21" s="3" t="s">
        <v>72</v>
      </c>
      <c r="AA21" s="3">
        <v>5</v>
      </c>
      <c r="AB21" s="3" t="s">
        <v>210</v>
      </c>
      <c r="AC21" s="3" t="s">
        <v>211</v>
      </c>
      <c r="AD21" s="3" t="s">
        <v>23</v>
      </c>
      <c r="AE21" s="3" t="s">
        <v>21</v>
      </c>
      <c r="AF21" s="3" t="s">
        <v>23</v>
      </c>
      <c r="AG21" s="3" t="s">
        <v>21</v>
      </c>
      <c r="AH21" s="15" t="str">
        <f>IFERROR(VLOOKUP(Form_Responses[[#This Row],[Nombre Técnico]],'masa de trabajo'!$B:$C,2,0),"")</f>
        <v>SI</v>
      </c>
      <c r="AI21" s="12" t="str">
        <f>VLOOKUP(Form_Responses[[#This Row],[Nombre Técnico]],'masa de trabajo'!$B:$E,3,0)</f>
        <v>SI</v>
      </c>
      <c r="AJ21" s="12" t="str">
        <f>VLOOKUP(Form_Responses[[#This Row],[Nombre Técnico]],'masa de trabajo'!$B:$E,4,0)</f>
        <v>-</v>
      </c>
    </row>
    <row r="22" spans="1:36" ht="15.75" customHeight="1" x14ac:dyDescent="0.25">
      <c r="A22" s="1">
        <v>46254.036589560186</v>
      </c>
      <c r="B22" s="10">
        <v>9</v>
      </c>
      <c r="C22" s="3" t="s">
        <v>212</v>
      </c>
      <c r="D22" s="3" t="s">
        <v>63</v>
      </c>
      <c r="E22" s="3" t="s">
        <v>53</v>
      </c>
      <c r="F22" s="3" t="s">
        <v>18</v>
      </c>
      <c r="G22" s="3" t="s">
        <v>18</v>
      </c>
      <c r="I22" s="3" t="s">
        <v>19</v>
      </c>
      <c r="J22" s="3" t="s">
        <v>20</v>
      </c>
      <c r="L22" s="3" t="s">
        <v>213</v>
      </c>
      <c r="M22" s="3" t="s">
        <v>23</v>
      </c>
      <c r="N22" s="3" t="s">
        <v>23</v>
      </c>
      <c r="Q22" s="3" t="s">
        <v>23</v>
      </c>
      <c r="R22" s="3" t="s">
        <v>23</v>
      </c>
      <c r="S22" s="3" t="s">
        <v>214</v>
      </c>
      <c r="T22" s="3">
        <v>4</v>
      </c>
      <c r="U22" s="4" t="s">
        <v>215</v>
      </c>
      <c r="V22" s="4" t="s">
        <v>216</v>
      </c>
      <c r="W22" s="4" t="s">
        <v>217</v>
      </c>
      <c r="X22" s="4" t="s">
        <v>218</v>
      </c>
      <c r="Y22" s="3" t="s">
        <v>30</v>
      </c>
      <c r="Z22" s="3" t="s">
        <v>30</v>
      </c>
      <c r="AA22" s="3">
        <v>10</v>
      </c>
      <c r="AB22" s="3" t="s">
        <v>219</v>
      </c>
      <c r="AC22" s="3" t="s">
        <v>23</v>
      </c>
      <c r="AD22" s="3" t="s">
        <v>23</v>
      </c>
      <c r="AE22" s="3" t="s">
        <v>21</v>
      </c>
      <c r="AF22" s="3" t="s">
        <v>23</v>
      </c>
      <c r="AG22" s="3" t="s">
        <v>21</v>
      </c>
      <c r="AH22" s="15" t="str">
        <f>IFERROR(VLOOKUP(Form_Responses[[#This Row],[Nombre Técnico]],'masa de trabajo'!$B:$C,2,0),"")</f>
        <v>SI</v>
      </c>
      <c r="AI22" s="12" t="str">
        <f>VLOOKUP(Form_Responses[[#This Row],[Nombre Técnico]],'masa de trabajo'!$B:$E,3,0)</f>
        <v>SI</v>
      </c>
      <c r="AJ22" s="12" t="str">
        <f>VLOOKUP(Form_Responses[[#This Row],[Nombre Técnico]],'masa de trabajo'!$B:$E,4,0)</f>
        <v>-</v>
      </c>
    </row>
    <row r="23" spans="1:36" ht="15.75" customHeight="1" x14ac:dyDescent="0.25">
      <c r="A23" s="1">
        <v>46254.792688402777</v>
      </c>
      <c r="B23" s="10">
        <v>5</v>
      </c>
      <c r="C23" s="3" t="s">
        <v>220</v>
      </c>
      <c r="D23" s="3" t="s">
        <v>221</v>
      </c>
      <c r="E23" s="3" t="s">
        <v>53</v>
      </c>
      <c r="F23" s="3" t="s">
        <v>18</v>
      </c>
      <c r="G23" s="3" t="s">
        <v>18</v>
      </c>
      <c r="I23" s="3" t="s">
        <v>19</v>
      </c>
      <c r="J23" s="3" t="s">
        <v>54</v>
      </c>
      <c r="L23" s="3" t="s">
        <v>222</v>
      </c>
      <c r="M23" s="3" t="s">
        <v>23</v>
      </c>
      <c r="O23" s="3" t="s">
        <v>23</v>
      </c>
      <c r="P23" s="3">
        <v>4</v>
      </c>
      <c r="Q23" s="3" t="s">
        <v>23</v>
      </c>
      <c r="R23" s="3" t="s">
        <v>23</v>
      </c>
      <c r="S23" s="3" t="s">
        <v>223</v>
      </c>
      <c r="T23" s="3">
        <v>4</v>
      </c>
      <c r="U23" s="4" t="s">
        <v>224</v>
      </c>
      <c r="V23" s="4" t="s">
        <v>225</v>
      </c>
      <c r="W23" s="4" t="s">
        <v>226</v>
      </c>
      <c r="X23" s="4" t="s">
        <v>227</v>
      </c>
      <c r="Y23" s="3" t="s">
        <v>30</v>
      </c>
      <c r="Z23" s="3" t="s">
        <v>30</v>
      </c>
      <c r="AA23" s="3">
        <v>9</v>
      </c>
      <c r="AB23" s="3" t="s">
        <v>228</v>
      </c>
      <c r="AH23" s="15" t="str">
        <f>IFERROR(VLOOKUP(Form_Responses[[#This Row],[Nombre Técnico]],'masa de trabajo'!$B:$C,2,0),"")</f>
        <v>-</v>
      </c>
      <c r="AI23" s="12" t="str">
        <f>VLOOKUP(Form_Responses[[#This Row],[Nombre Técnico]],'masa de trabajo'!$B:$E,3,0)</f>
        <v>-</v>
      </c>
      <c r="AJ23" s="12" t="str">
        <f>VLOOKUP(Form_Responses[[#This Row],[Nombre Técnico]],'masa de trabajo'!$B:$E,4,0)</f>
        <v>-</v>
      </c>
    </row>
    <row r="24" spans="1:36" ht="15.75" customHeight="1" x14ac:dyDescent="0.25">
      <c r="A24" s="1">
        <v>46255.391508726854</v>
      </c>
      <c r="B24" s="10">
        <v>7</v>
      </c>
      <c r="C24" s="3" t="s">
        <v>229</v>
      </c>
      <c r="D24" s="3" t="s">
        <v>221</v>
      </c>
      <c r="E24" s="3" t="s">
        <v>64</v>
      </c>
      <c r="F24" s="3" t="s">
        <v>18</v>
      </c>
      <c r="G24" s="3" t="s">
        <v>18</v>
      </c>
      <c r="I24" s="3" t="s">
        <v>19</v>
      </c>
      <c r="J24" s="3" t="s">
        <v>41</v>
      </c>
      <c r="K24" s="3" t="s">
        <v>21</v>
      </c>
      <c r="L24" s="3" t="s">
        <v>230</v>
      </c>
      <c r="M24" s="3" t="s">
        <v>21</v>
      </c>
      <c r="N24" s="3" t="s">
        <v>23</v>
      </c>
      <c r="O24" s="3" t="s">
        <v>23</v>
      </c>
      <c r="P24" s="3">
        <v>4</v>
      </c>
      <c r="Q24" s="3" t="s">
        <v>23</v>
      </c>
      <c r="R24" s="3" t="s">
        <v>23</v>
      </c>
      <c r="S24" s="3" t="s">
        <v>231</v>
      </c>
      <c r="T24" s="3">
        <v>4</v>
      </c>
      <c r="U24" s="4" t="s">
        <v>232</v>
      </c>
      <c r="V24" s="4" t="s">
        <v>233</v>
      </c>
      <c r="W24" s="4" t="s">
        <v>234</v>
      </c>
      <c r="X24" s="4" t="s">
        <v>235</v>
      </c>
      <c r="Y24" s="3" t="s">
        <v>30</v>
      </c>
      <c r="Z24" s="3" t="s">
        <v>72</v>
      </c>
      <c r="AA24" s="3">
        <v>4</v>
      </c>
      <c r="AB24" s="3" t="s">
        <v>236</v>
      </c>
      <c r="AC24" s="3" t="s">
        <v>23</v>
      </c>
      <c r="AD24" s="3" t="s">
        <v>23</v>
      </c>
      <c r="AE24" s="3" t="s">
        <v>21</v>
      </c>
      <c r="AF24" s="3" t="s">
        <v>23</v>
      </c>
      <c r="AG24" s="3" t="s">
        <v>21</v>
      </c>
      <c r="AH24" s="15" t="str">
        <f>IFERROR(VLOOKUP(Form_Responses[[#This Row],[Nombre Técnico]],'masa de trabajo'!$B:$C,2,0),"")</f>
        <v>-</v>
      </c>
      <c r="AI24" s="12" t="str">
        <f>VLOOKUP(Form_Responses[[#This Row],[Nombre Técnico]],'masa de trabajo'!$B:$E,3,0)</f>
        <v>-</v>
      </c>
      <c r="AJ24" s="12" t="str">
        <f>VLOOKUP(Form_Responses[[#This Row],[Nombre Técnico]],'masa de trabajo'!$B:$E,4,0)</f>
        <v>-</v>
      </c>
    </row>
    <row r="25" spans="1:36" ht="15.75" customHeight="1" x14ac:dyDescent="0.25">
      <c r="A25" s="1">
        <v>46258.603575879628</v>
      </c>
      <c r="B25" s="10">
        <v>7</v>
      </c>
      <c r="C25" s="3" t="s">
        <v>238</v>
      </c>
      <c r="D25" s="3" t="s">
        <v>75</v>
      </c>
      <c r="E25" s="3" t="s">
        <v>53</v>
      </c>
      <c r="F25" s="3" t="s">
        <v>18</v>
      </c>
      <c r="G25" s="3" t="s">
        <v>18</v>
      </c>
      <c r="I25" s="3" t="s">
        <v>128</v>
      </c>
      <c r="J25" s="3" t="s">
        <v>41</v>
      </c>
      <c r="K25" s="3" t="s">
        <v>23</v>
      </c>
      <c r="L25" s="3" t="s">
        <v>239</v>
      </c>
      <c r="N25" s="3" t="s">
        <v>23</v>
      </c>
      <c r="O25" s="3" t="s">
        <v>23</v>
      </c>
      <c r="P25" s="3">
        <v>5</v>
      </c>
      <c r="Q25" s="3" t="s">
        <v>23</v>
      </c>
      <c r="R25" s="3" t="s">
        <v>23</v>
      </c>
      <c r="S25" s="3" t="s">
        <v>240</v>
      </c>
      <c r="T25" s="3">
        <v>4</v>
      </c>
      <c r="U25" s="4" t="s">
        <v>241</v>
      </c>
      <c r="V25" s="4" t="s">
        <v>242</v>
      </c>
      <c r="X25" s="4" t="s">
        <v>243</v>
      </c>
      <c r="Y25" s="3" t="s">
        <v>30</v>
      </c>
      <c r="Z25" s="3" t="s">
        <v>30</v>
      </c>
      <c r="AA25" s="3">
        <v>8</v>
      </c>
      <c r="AB25" s="3" t="s">
        <v>244</v>
      </c>
      <c r="AD25" s="3" t="s">
        <v>23</v>
      </c>
      <c r="AE25" s="3" t="s">
        <v>21</v>
      </c>
      <c r="AG25" s="3" t="s">
        <v>21</v>
      </c>
      <c r="AH25" s="15" t="str">
        <f>IFERROR(VLOOKUP(Form_Responses[[#This Row],[Nombre Técnico]],'masa de trabajo'!$B:$C,2,0),"")</f>
        <v>SI</v>
      </c>
      <c r="AI25" s="12" t="str">
        <f>VLOOKUP(Form_Responses[[#This Row],[Nombre Técnico]],'masa de trabajo'!$B:$E,3,0)</f>
        <v>-</v>
      </c>
      <c r="AJ25" s="12" t="str">
        <f>VLOOKUP(Form_Responses[[#This Row],[Nombre Técnico]],'masa de trabajo'!$B:$E,4,0)</f>
        <v>-</v>
      </c>
    </row>
    <row r="26" spans="1:36" ht="15.75" customHeight="1" x14ac:dyDescent="0.25">
      <c r="A26" s="1">
        <v>46258.674336504628</v>
      </c>
      <c r="B26" s="10">
        <v>7</v>
      </c>
      <c r="C26" s="3" t="s">
        <v>245</v>
      </c>
      <c r="D26" s="3" t="s">
        <v>221</v>
      </c>
      <c r="E26" s="3" t="s">
        <v>53</v>
      </c>
      <c r="F26" s="3" t="s">
        <v>18</v>
      </c>
      <c r="G26" s="3" t="s">
        <v>18</v>
      </c>
      <c r="I26" s="3" t="s">
        <v>128</v>
      </c>
      <c r="J26" s="3" t="s">
        <v>20</v>
      </c>
      <c r="K26" s="3" t="s">
        <v>23</v>
      </c>
      <c r="L26" s="3" t="s">
        <v>246</v>
      </c>
      <c r="M26" s="3" t="s">
        <v>21</v>
      </c>
      <c r="N26" s="3" t="s">
        <v>23</v>
      </c>
      <c r="O26" s="3" t="s">
        <v>21</v>
      </c>
      <c r="Q26" s="3" t="s">
        <v>23</v>
      </c>
      <c r="R26" s="3" t="s">
        <v>23</v>
      </c>
      <c r="S26" s="3" t="s">
        <v>247</v>
      </c>
      <c r="T26" s="3">
        <v>4</v>
      </c>
      <c r="U26" s="4" t="s">
        <v>248</v>
      </c>
      <c r="V26" s="4" t="s">
        <v>249</v>
      </c>
      <c r="W26" s="4" t="s">
        <v>250</v>
      </c>
      <c r="Y26" s="3" t="s">
        <v>30</v>
      </c>
      <c r="Z26" s="3" t="s">
        <v>30</v>
      </c>
      <c r="AA26" s="3">
        <v>8</v>
      </c>
      <c r="AB26" s="3" t="s">
        <v>251</v>
      </c>
      <c r="AD26" s="3" t="s">
        <v>23</v>
      </c>
      <c r="AE26" s="3" t="s">
        <v>21</v>
      </c>
      <c r="AG26" s="3" t="s">
        <v>21</v>
      </c>
      <c r="AH26" s="15" t="str">
        <f>IFERROR(VLOOKUP(Form_Responses[[#This Row],[Nombre Técnico]],'masa de trabajo'!$B:$C,2,0),"")</f>
        <v>-</v>
      </c>
      <c r="AI26" s="12" t="str">
        <f>VLOOKUP(Form_Responses[[#This Row],[Nombre Técnico]],'masa de trabajo'!$B:$E,3,0)</f>
        <v>-</v>
      </c>
      <c r="AJ26" s="12" t="str">
        <f>VLOOKUP(Form_Responses[[#This Row],[Nombre Técnico]],'masa de trabajo'!$B:$E,4,0)</f>
        <v>-</v>
      </c>
    </row>
    <row r="27" spans="1:36" ht="15.75" customHeight="1" x14ac:dyDescent="0.25">
      <c r="A27" s="1">
        <v>46260.768395266205</v>
      </c>
      <c r="B27" s="10">
        <v>6</v>
      </c>
      <c r="C27" s="3" t="s">
        <v>252</v>
      </c>
      <c r="D27" s="3" t="s">
        <v>253</v>
      </c>
      <c r="E27" s="3" t="s">
        <v>53</v>
      </c>
      <c r="F27" s="3" t="s">
        <v>18</v>
      </c>
      <c r="G27" s="3" t="s">
        <v>18</v>
      </c>
      <c r="I27" s="3" t="s">
        <v>128</v>
      </c>
      <c r="J27" s="3" t="s">
        <v>20</v>
      </c>
      <c r="K27" s="3" t="s">
        <v>23</v>
      </c>
      <c r="L27" s="3" t="s">
        <v>254</v>
      </c>
      <c r="N27" s="3" t="s">
        <v>21</v>
      </c>
      <c r="P27" s="3">
        <v>1</v>
      </c>
      <c r="Q27" s="3" t="s">
        <v>23</v>
      </c>
      <c r="R27" s="3" t="s">
        <v>23</v>
      </c>
      <c r="S27" s="3" t="s">
        <v>255</v>
      </c>
      <c r="T27" s="3">
        <v>4</v>
      </c>
      <c r="U27" s="4" t="s">
        <v>256</v>
      </c>
      <c r="V27" s="4" t="s">
        <v>257</v>
      </c>
      <c r="W27" s="4" t="s">
        <v>258</v>
      </c>
      <c r="X27" s="4" t="s">
        <v>259</v>
      </c>
      <c r="Y27" s="3" t="s">
        <v>30</v>
      </c>
      <c r="Z27" s="3" t="s">
        <v>30</v>
      </c>
      <c r="AA27" s="3">
        <v>9</v>
      </c>
      <c r="AB27" s="3" t="s">
        <v>260</v>
      </c>
      <c r="AD27" s="3" t="s">
        <v>23</v>
      </c>
      <c r="AE27" s="3" t="s">
        <v>21</v>
      </c>
      <c r="AG27" s="3" t="s">
        <v>21</v>
      </c>
      <c r="AH27" s="15" t="str">
        <f>IFERROR(VLOOKUP(Form_Responses[[#This Row],[Nombre Técnico]],'masa de trabajo'!$B:$C,2,0),"")</f>
        <v>SI</v>
      </c>
      <c r="AI27" s="12" t="str">
        <f>VLOOKUP(Form_Responses[[#This Row],[Nombre Técnico]],'masa de trabajo'!$B:$E,3,0)</f>
        <v>SI</v>
      </c>
      <c r="AJ27" s="12" t="str">
        <f>VLOOKUP(Form_Responses[[#This Row],[Nombre Técnico]],'masa de trabajo'!$B:$E,4,0)</f>
        <v>-</v>
      </c>
    </row>
    <row r="28" spans="1:36" ht="15.75" customHeight="1" x14ac:dyDescent="0.25">
      <c r="A28" s="1">
        <v>46261.683956793982</v>
      </c>
      <c r="B28" s="10">
        <v>10</v>
      </c>
      <c r="C28" s="3" t="s">
        <v>261</v>
      </c>
      <c r="D28" s="3" t="s">
        <v>84</v>
      </c>
      <c r="E28" s="3" t="s">
        <v>53</v>
      </c>
      <c r="F28" s="3" t="s">
        <v>18</v>
      </c>
      <c r="G28" s="3" t="s">
        <v>18</v>
      </c>
      <c r="I28" s="3" t="s">
        <v>19</v>
      </c>
      <c r="J28" s="3" t="s">
        <v>41</v>
      </c>
      <c r="K28" s="3" t="s">
        <v>23</v>
      </c>
      <c r="L28" s="3" t="s">
        <v>262</v>
      </c>
      <c r="M28" s="3" t="s">
        <v>23</v>
      </c>
      <c r="N28" s="3" t="s">
        <v>23</v>
      </c>
      <c r="Q28" s="3" t="s">
        <v>23</v>
      </c>
      <c r="R28" s="3" t="s">
        <v>23</v>
      </c>
      <c r="S28" s="3" t="s">
        <v>263</v>
      </c>
      <c r="T28" s="3">
        <v>4</v>
      </c>
      <c r="U28" s="4" t="s">
        <v>264</v>
      </c>
      <c r="V28" s="4" t="s">
        <v>265</v>
      </c>
      <c r="W28" s="4" t="s">
        <v>266</v>
      </c>
      <c r="X28" s="4" t="s">
        <v>267</v>
      </c>
      <c r="Y28" s="3" t="s">
        <v>30</v>
      </c>
      <c r="Z28" s="3" t="s">
        <v>30</v>
      </c>
      <c r="AA28" s="3">
        <v>10</v>
      </c>
      <c r="AB28" s="3" t="s">
        <v>268</v>
      </c>
      <c r="AC28" s="3" t="s">
        <v>23</v>
      </c>
      <c r="AD28" s="3" t="s">
        <v>23</v>
      </c>
      <c r="AE28" s="3" t="s">
        <v>21</v>
      </c>
      <c r="AF28" s="3" t="s">
        <v>23</v>
      </c>
      <c r="AG28" s="3" t="s">
        <v>21</v>
      </c>
      <c r="AH28" s="15" t="str">
        <f>IFERROR(VLOOKUP(Form_Responses[[#This Row],[Nombre Técnico]],'masa de trabajo'!$B:$C,2,0),"")</f>
        <v>SI</v>
      </c>
      <c r="AI28" s="12" t="str">
        <f>VLOOKUP(Form_Responses[[#This Row],[Nombre Técnico]],'masa de trabajo'!$B:$E,3,0)</f>
        <v>SI</v>
      </c>
      <c r="AJ28" s="12" t="str">
        <f>VLOOKUP(Form_Responses[[#This Row],[Nombre Técnico]],'masa de trabajo'!$B:$E,4,0)</f>
        <v>-</v>
      </c>
    </row>
    <row r="29" spans="1:36" ht="15.75" customHeight="1" x14ac:dyDescent="0.25">
      <c r="A29" s="1">
        <v>46266.650122476851</v>
      </c>
      <c r="B29" s="10">
        <v>8</v>
      </c>
      <c r="C29" s="3" t="s">
        <v>269</v>
      </c>
      <c r="D29" s="3" t="s">
        <v>221</v>
      </c>
      <c r="E29" s="3" t="s">
        <v>53</v>
      </c>
      <c r="F29" s="3" t="s">
        <v>18</v>
      </c>
      <c r="G29" s="3" t="s">
        <v>18</v>
      </c>
      <c r="I29" s="3" t="s">
        <v>19</v>
      </c>
      <c r="J29" s="3" t="s">
        <v>41</v>
      </c>
      <c r="L29" s="3" t="s">
        <v>270</v>
      </c>
      <c r="M29" s="3" t="s">
        <v>23</v>
      </c>
      <c r="N29" s="3" t="s">
        <v>23</v>
      </c>
      <c r="Q29" s="3" t="s">
        <v>23</v>
      </c>
      <c r="R29" s="3" t="s">
        <v>23</v>
      </c>
      <c r="T29" s="3">
        <v>4</v>
      </c>
      <c r="U29" s="4" t="s">
        <v>271</v>
      </c>
      <c r="V29" s="4" t="s">
        <v>272</v>
      </c>
      <c r="W29" s="4" t="s">
        <v>273</v>
      </c>
      <c r="X29" s="4" t="s">
        <v>274</v>
      </c>
      <c r="Y29" s="3" t="s">
        <v>30</v>
      </c>
      <c r="Z29" s="3" t="s">
        <v>30</v>
      </c>
      <c r="AA29" s="3">
        <v>9</v>
      </c>
      <c r="AB29" s="3" t="s">
        <v>275</v>
      </c>
      <c r="AC29" s="3" t="s">
        <v>77</v>
      </c>
      <c r="AD29" s="3" t="s">
        <v>23</v>
      </c>
      <c r="AE29" s="3" t="s">
        <v>21</v>
      </c>
      <c r="AF29" s="3" t="s">
        <v>23</v>
      </c>
      <c r="AG29" s="3" t="s">
        <v>21</v>
      </c>
      <c r="AH29" s="15" t="str">
        <f>IFERROR(VLOOKUP(Form_Responses[[#This Row],[Nombre Técnico]],'masa de trabajo'!$B:$C,2,0),"")</f>
        <v>-</v>
      </c>
      <c r="AI29" s="12" t="str">
        <f>VLOOKUP(Form_Responses[[#This Row],[Nombre Técnico]],'masa de trabajo'!$B:$E,3,0)</f>
        <v>-</v>
      </c>
      <c r="AJ29" s="12" t="str">
        <f>VLOOKUP(Form_Responses[[#This Row],[Nombre Técnico]],'masa de trabajo'!$B:$E,4,0)</f>
        <v>-</v>
      </c>
    </row>
    <row r="30" spans="1:36" ht="15.75" customHeight="1" x14ac:dyDescent="0.25">
      <c r="A30" s="1">
        <v>46266.829720358801</v>
      </c>
      <c r="B30" s="10">
        <v>9</v>
      </c>
      <c r="C30" s="3" t="s">
        <v>276</v>
      </c>
      <c r="D30" s="3" t="s">
        <v>277</v>
      </c>
      <c r="E30" s="3" t="s">
        <v>53</v>
      </c>
      <c r="F30" s="3" t="s">
        <v>18</v>
      </c>
      <c r="G30" s="3" t="s">
        <v>18</v>
      </c>
      <c r="I30" s="3" t="s">
        <v>19</v>
      </c>
      <c r="J30" s="3" t="s">
        <v>41</v>
      </c>
      <c r="K30" s="3" t="s">
        <v>23</v>
      </c>
      <c r="L30" s="3" t="s">
        <v>278</v>
      </c>
      <c r="M30" s="3" t="s">
        <v>23</v>
      </c>
      <c r="N30" s="3" t="s">
        <v>23</v>
      </c>
      <c r="P30" s="3">
        <v>1</v>
      </c>
      <c r="Q30" s="3" t="s">
        <v>23</v>
      </c>
      <c r="R30" s="3" t="s">
        <v>23</v>
      </c>
      <c r="S30" s="3" t="s">
        <v>279</v>
      </c>
      <c r="T30" s="3">
        <v>4</v>
      </c>
      <c r="U30" s="4" t="s">
        <v>280</v>
      </c>
      <c r="V30" s="4" t="s">
        <v>281</v>
      </c>
      <c r="W30" s="4" t="s">
        <v>282</v>
      </c>
      <c r="X30" s="4" t="s">
        <v>283</v>
      </c>
      <c r="Y30" s="3" t="s">
        <v>30</v>
      </c>
      <c r="Z30" s="3" t="s">
        <v>30</v>
      </c>
      <c r="AA30" s="3">
        <v>9</v>
      </c>
      <c r="AB30" s="3" t="s">
        <v>284</v>
      </c>
      <c r="AC30" s="3" t="s">
        <v>77</v>
      </c>
      <c r="AD30" s="3" t="s">
        <v>23</v>
      </c>
      <c r="AE30" s="3" t="s">
        <v>21</v>
      </c>
      <c r="AF30" s="3" t="s">
        <v>23</v>
      </c>
      <c r="AG30" s="3" t="s">
        <v>21</v>
      </c>
      <c r="AH30" s="15" t="str">
        <f>IFERROR(VLOOKUP(Form_Responses[[#This Row],[Nombre Técnico]],'masa de trabajo'!$B:$C,2,0),"")</f>
        <v>SI</v>
      </c>
      <c r="AI30" s="12" t="str">
        <f>VLOOKUP(Form_Responses[[#This Row],[Nombre Técnico]],'masa de trabajo'!$B:$E,3,0)</f>
        <v>-</v>
      </c>
      <c r="AJ30" s="12" t="str">
        <f>VLOOKUP(Form_Responses[[#This Row],[Nombre Técnico]],'masa de trabajo'!$B:$E,4,0)</f>
        <v>-</v>
      </c>
    </row>
    <row r="31" spans="1:36" ht="15.75" customHeight="1" x14ac:dyDescent="0.25">
      <c r="A31" s="1">
        <v>46267.696003368052</v>
      </c>
      <c r="B31" s="10">
        <v>8</v>
      </c>
      <c r="C31" s="3" t="s">
        <v>285</v>
      </c>
      <c r="D31" s="3" t="s">
        <v>253</v>
      </c>
      <c r="E31" s="3" t="s">
        <v>53</v>
      </c>
      <c r="F31" s="3" t="s">
        <v>18</v>
      </c>
      <c r="G31" s="3" t="s">
        <v>18</v>
      </c>
      <c r="I31" s="3" t="s">
        <v>19</v>
      </c>
      <c r="J31" s="3" t="s">
        <v>41</v>
      </c>
      <c r="K31" s="3" t="s">
        <v>23</v>
      </c>
      <c r="L31" s="3" t="s">
        <v>286</v>
      </c>
      <c r="M31" s="3" t="s">
        <v>21</v>
      </c>
      <c r="N31" s="3" t="s">
        <v>21</v>
      </c>
      <c r="Q31" s="3" t="s">
        <v>23</v>
      </c>
      <c r="R31" s="3" t="s">
        <v>23</v>
      </c>
      <c r="T31" s="3">
        <v>4</v>
      </c>
      <c r="U31" s="4" t="s">
        <v>287</v>
      </c>
      <c r="V31" s="4" t="s">
        <v>288</v>
      </c>
      <c r="W31" s="4" t="s">
        <v>289</v>
      </c>
      <c r="X31" s="4" t="s">
        <v>290</v>
      </c>
      <c r="Y31" s="3" t="s">
        <v>30</v>
      </c>
      <c r="Z31" s="3" t="s">
        <v>30</v>
      </c>
      <c r="AA31" s="3">
        <v>9</v>
      </c>
      <c r="AB31" s="3" t="s">
        <v>291</v>
      </c>
      <c r="AC31" s="3" t="s">
        <v>23</v>
      </c>
      <c r="AD31" s="3" t="s">
        <v>23</v>
      </c>
      <c r="AE31" s="3" t="s">
        <v>21</v>
      </c>
      <c r="AF31" s="3" t="s">
        <v>23</v>
      </c>
      <c r="AG31" s="3" t="s">
        <v>21</v>
      </c>
      <c r="AH31" s="15" t="str">
        <f>IFERROR(VLOOKUP(Form_Responses[[#This Row],[Nombre Técnico]],'masa de trabajo'!$B:$C,2,0),"")</f>
        <v>SI</v>
      </c>
      <c r="AI31" s="12" t="str">
        <f>VLOOKUP(Form_Responses[[#This Row],[Nombre Técnico]],'masa de trabajo'!$B:$E,3,0)</f>
        <v>SI</v>
      </c>
      <c r="AJ31" s="12" t="str">
        <f>VLOOKUP(Form_Responses[[#This Row],[Nombre Técnico]],'masa de trabajo'!$B:$E,4,0)</f>
        <v>-</v>
      </c>
    </row>
    <row r="32" spans="1:36" ht="15.75" customHeight="1" x14ac:dyDescent="0.25">
      <c r="A32" s="1">
        <v>46268.671411990741</v>
      </c>
      <c r="B32" s="10">
        <v>6</v>
      </c>
      <c r="C32" s="3" t="s">
        <v>292</v>
      </c>
      <c r="D32" s="3" t="s">
        <v>221</v>
      </c>
      <c r="E32" s="3" t="s">
        <v>53</v>
      </c>
      <c r="F32" s="3" t="s">
        <v>18</v>
      </c>
      <c r="G32" s="3" t="s">
        <v>18</v>
      </c>
      <c r="I32" s="3" t="s">
        <v>128</v>
      </c>
      <c r="J32" s="3" t="s">
        <v>41</v>
      </c>
      <c r="K32" s="3" t="s">
        <v>23</v>
      </c>
      <c r="L32" s="3" t="s">
        <v>293</v>
      </c>
      <c r="M32" s="3" t="s">
        <v>21</v>
      </c>
      <c r="N32" s="3" t="s">
        <v>21</v>
      </c>
      <c r="Q32" s="3" t="s">
        <v>23</v>
      </c>
      <c r="R32" s="3" t="s">
        <v>23</v>
      </c>
      <c r="S32" s="3" t="s">
        <v>294</v>
      </c>
      <c r="T32" s="3">
        <v>4</v>
      </c>
      <c r="U32" s="4" t="s">
        <v>295</v>
      </c>
      <c r="V32" s="4" t="s">
        <v>296</v>
      </c>
      <c r="W32" s="4" t="s">
        <v>297</v>
      </c>
      <c r="X32" s="4" t="s">
        <v>298</v>
      </c>
      <c r="Y32" s="3" t="s">
        <v>30</v>
      </c>
      <c r="Z32" s="3" t="s">
        <v>30</v>
      </c>
      <c r="AA32" s="3">
        <v>9</v>
      </c>
      <c r="AB32" s="3" t="s">
        <v>299</v>
      </c>
      <c r="AD32" s="3" t="s">
        <v>23</v>
      </c>
      <c r="AE32" s="3" t="s">
        <v>21</v>
      </c>
      <c r="AG32" s="3" t="s">
        <v>21</v>
      </c>
      <c r="AH32" s="15" t="str">
        <f>IFERROR(VLOOKUP(Form_Responses[[#This Row],[Nombre Técnico]],'masa de trabajo'!$B:$C,2,0),"")</f>
        <v>-</v>
      </c>
      <c r="AI32" s="12" t="str">
        <f>VLOOKUP(Form_Responses[[#This Row],[Nombre Técnico]],'masa de trabajo'!$B:$E,3,0)</f>
        <v>-</v>
      </c>
      <c r="AJ32" s="12" t="str">
        <f>VLOOKUP(Form_Responses[[#This Row],[Nombre Técnico]],'masa de trabajo'!$B:$E,4,0)</f>
        <v>-</v>
      </c>
    </row>
    <row r="33" spans="1:36" ht="15.75" customHeight="1" x14ac:dyDescent="0.25">
      <c r="A33" s="1">
        <v>46269.998554641206</v>
      </c>
      <c r="B33" s="10">
        <v>10</v>
      </c>
      <c r="C33" s="3" t="s">
        <v>300</v>
      </c>
      <c r="D33" s="3" t="s">
        <v>63</v>
      </c>
      <c r="E33" s="3" t="s">
        <v>53</v>
      </c>
      <c r="F33" s="3" t="s">
        <v>18</v>
      </c>
      <c r="G33" s="3" t="s">
        <v>18</v>
      </c>
      <c r="I33" s="3" t="s">
        <v>19</v>
      </c>
      <c r="J33" s="3" t="s">
        <v>65</v>
      </c>
      <c r="K33" s="3" t="s">
        <v>23</v>
      </c>
      <c r="L33" s="3" t="s">
        <v>301</v>
      </c>
      <c r="M33" s="3" t="s">
        <v>23</v>
      </c>
      <c r="N33" s="3" t="s">
        <v>23</v>
      </c>
      <c r="P33" s="3">
        <v>1</v>
      </c>
      <c r="Q33" s="3" t="s">
        <v>23</v>
      </c>
      <c r="R33" s="3" t="s">
        <v>23</v>
      </c>
      <c r="S33" s="3" t="s">
        <v>302</v>
      </c>
      <c r="T33" s="3">
        <v>4</v>
      </c>
      <c r="U33" s="4" t="s">
        <v>303</v>
      </c>
      <c r="V33" s="4" t="s">
        <v>304</v>
      </c>
      <c r="W33" s="4" t="s">
        <v>305</v>
      </c>
      <c r="X33" s="4" t="s">
        <v>306</v>
      </c>
      <c r="Y33" s="3" t="s">
        <v>30</v>
      </c>
      <c r="Z33" s="3" t="s">
        <v>30</v>
      </c>
      <c r="AA33" s="3">
        <v>9</v>
      </c>
      <c r="AB33" s="3" t="s">
        <v>307</v>
      </c>
      <c r="AC33" s="3" t="s">
        <v>23</v>
      </c>
      <c r="AD33" s="3" t="s">
        <v>23</v>
      </c>
      <c r="AE33" s="3" t="s">
        <v>21</v>
      </c>
      <c r="AF33" s="3" t="s">
        <v>23</v>
      </c>
      <c r="AG33" s="3" t="s">
        <v>21</v>
      </c>
      <c r="AH33" s="15" t="str">
        <f>IFERROR(VLOOKUP(Form_Responses[[#This Row],[Nombre Técnico]],'masa de trabajo'!$B:$C,2,0),"")</f>
        <v>SI</v>
      </c>
      <c r="AI33" s="12" t="str">
        <f>VLOOKUP(Form_Responses[[#This Row],[Nombre Técnico]],'masa de trabajo'!$B:$E,3,0)</f>
        <v>SI</v>
      </c>
      <c r="AJ33" s="12" t="str">
        <f>VLOOKUP(Form_Responses[[#This Row],[Nombre Técnico]],'masa de trabajo'!$B:$E,4,0)</f>
        <v>-</v>
      </c>
    </row>
    <row r="34" spans="1:36" ht="15.75" customHeight="1" x14ac:dyDescent="0.25">
      <c r="A34" s="1">
        <v>46271.900488796295</v>
      </c>
      <c r="B34" s="10">
        <v>10</v>
      </c>
      <c r="C34" s="3" t="s">
        <v>308</v>
      </c>
      <c r="D34" s="3" t="s">
        <v>101</v>
      </c>
      <c r="E34" s="3" t="s">
        <v>17</v>
      </c>
      <c r="F34" s="3" t="s">
        <v>18</v>
      </c>
      <c r="G34" s="3" t="s">
        <v>18</v>
      </c>
      <c r="I34" s="3" t="s">
        <v>19</v>
      </c>
      <c r="J34" s="3" t="s">
        <v>41</v>
      </c>
      <c r="K34" s="3" t="s">
        <v>23</v>
      </c>
      <c r="L34" s="3" t="s">
        <v>309</v>
      </c>
      <c r="M34" s="3" t="s">
        <v>23</v>
      </c>
      <c r="N34" s="3" t="s">
        <v>23</v>
      </c>
      <c r="O34" s="3" t="s">
        <v>21</v>
      </c>
      <c r="P34" s="3">
        <v>1</v>
      </c>
      <c r="Q34" s="3" t="s">
        <v>23</v>
      </c>
      <c r="R34" s="3" t="s">
        <v>23</v>
      </c>
      <c r="S34" s="3" t="s">
        <v>310</v>
      </c>
      <c r="T34" s="3">
        <v>4</v>
      </c>
      <c r="U34" s="4" t="s">
        <v>311</v>
      </c>
      <c r="V34" s="4" t="s">
        <v>312</v>
      </c>
      <c r="W34" s="4" t="s">
        <v>313</v>
      </c>
      <c r="X34" s="4" t="s">
        <v>314</v>
      </c>
      <c r="Y34" s="3" t="s">
        <v>30</v>
      </c>
      <c r="Z34" s="3" t="s">
        <v>30</v>
      </c>
      <c r="AA34" s="3">
        <v>7</v>
      </c>
      <c r="AB34" s="3" t="s">
        <v>315</v>
      </c>
      <c r="AC34" s="3" t="s">
        <v>23</v>
      </c>
      <c r="AD34" s="3" t="s">
        <v>23</v>
      </c>
      <c r="AE34" s="3" t="s">
        <v>21</v>
      </c>
      <c r="AF34" s="3" t="s">
        <v>23</v>
      </c>
      <c r="AG34" s="3" t="s">
        <v>21</v>
      </c>
      <c r="AH34" s="15" t="str">
        <f>IFERROR(VLOOKUP(Form_Responses[[#This Row],[Nombre Técnico]],'masa de trabajo'!$B:$C,2,0),"")</f>
        <v>SI</v>
      </c>
      <c r="AI34" s="12" t="str">
        <f>VLOOKUP(Form_Responses[[#This Row],[Nombre Técnico]],'masa de trabajo'!$B:$E,3,0)</f>
        <v>SI</v>
      </c>
      <c r="AJ34" s="12" t="str">
        <f>VLOOKUP(Form_Responses[[#This Row],[Nombre Técnico]],'masa de trabajo'!$B:$E,4,0)</f>
        <v>-</v>
      </c>
    </row>
    <row r="35" spans="1:36" ht="15.75" customHeight="1" x14ac:dyDescent="0.25">
      <c r="A35" s="1">
        <v>46271.909165335645</v>
      </c>
      <c r="B35" s="10">
        <v>9</v>
      </c>
      <c r="C35" s="3" t="s">
        <v>316</v>
      </c>
      <c r="D35" s="3" t="s">
        <v>101</v>
      </c>
      <c r="E35" s="3" t="s">
        <v>17</v>
      </c>
      <c r="F35" s="3" t="s">
        <v>18</v>
      </c>
      <c r="G35" s="3" t="s">
        <v>18</v>
      </c>
      <c r="I35" s="3" t="s">
        <v>19</v>
      </c>
      <c r="J35" s="3" t="s">
        <v>41</v>
      </c>
      <c r="K35" s="3" t="s">
        <v>23</v>
      </c>
      <c r="L35" s="3" t="s">
        <v>317</v>
      </c>
      <c r="N35" s="3" t="s">
        <v>23</v>
      </c>
      <c r="P35" s="3">
        <v>2</v>
      </c>
      <c r="Q35" s="3" t="s">
        <v>23</v>
      </c>
      <c r="R35" s="3" t="s">
        <v>23</v>
      </c>
      <c r="S35" s="3" t="s">
        <v>318</v>
      </c>
      <c r="T35" s="3">
        <v>4</v>
      </c>
      <c r="U35" s="4" t="s">
        <v>319</v>
      </c>
      <c r="V35" s="4" t="s">
        <v>320</v>
      </c>
      <c r="W35" s="4" t="s">
        <v>321</v>
      </c>
      <c r="X35" s="4" t="s">
        <v>322</v>
      </c>
      <c r="Y35" s="3" t="s">
        <v>30</v>
      </c>
      <c r="Z35" s="3" t="s">
        <v>30</v>
      </c>
      <c r="AA35" s="3">
        <v>8</v>
      </c>
      <c r="AB35" s="3" t="s">
        <v>323</v>
      </c>
      <c r="AC35" s="3" t="s">
        <v>23</v>
      </c>
      <c r="AD35" s="3" t="s">
        <v>23</v>
      </c>
      <c r="AE35" s="3" t="s">
        <v>21</v>
      </c>
      <c r="AF35" s="3" t="s">
        <v>23</v>
      </c>
      <c r="AG35" s="3" t="s">
        <v>21</v>
      </c>
      <c r="AH35" s="15" t="str">
        <f>IFERROR(VLOOKUP(Form_Responses[[#This Row],[Nombre Técnico]],'masa de trabajo'!$B:$C,2,0),"")</f>
        <v>SI</v>
      </c>
      <c r="AI35" s="12" t="str">
        <f>VLOOKUP(Form_Responses[[#This Row],[Nombre Técnico]],'masa de trabajo'!$B:$E,3,0)</f>
        <v>SI</v>
      </c>
      <c r="AJ35" s="12" t="str">
        <f>VLOOKUP(Form_Responses[[#This Row],[Nombre Técnico]],'masa de trabajo'!$B:$E,4,0)</f>
        <v>-</v>
      </c>
    </row>
    <row r="36" spans="1:36" ht="15.75" customHeight="1" x14ac:dyDescent="0.25">
      <c r="A36" s="1">
        <v>46271.929969872683</v>
      </c>
      <c r="B36" s="10">
        <v>6</v>
      </c>
      <c r="C36" s="3" t="s">
        <v>324</v>
      </c>
      <c r="D36" s="3" t="s">
        <v>101</v>
      </c>
      <c r="E36" s="3" t="s">
        <v>17</v>
      </c>
      <c r="F36" s="3" t="s">
        <v>18</v>
      </c>
      <c r="G36" s="3" t="s">
        <v>18</v>
      </c>
      <c r="I36" s="3" t="s">
        <v>19</v>
      </c>
      <c r="J36" s="3" t="s">
        <v>65</v>
      </c>
      <c r="L36" s="3" t="s">
        <v>325</v>
      </c>
      <c r="N36" s="3" t="s">
        <v>23</v>
      </c>
      <c r="O36" s="3" t="s">
        <v>23</v>
      </c>
      <c r="Q36" s="3" t="s">
        <v>23</v>
      </c>
      <c r="R36" s="3" t="s">
        <v>23</v>
      </c>
      <c r="S36" s="3" t="s">
        <v>326</v>
      </c>
      <c r="T36" s="3">
        <v>4</v>
      </c>
      <c r="U36" s="4" t="s">
        <v>327</v>
      </c>
      <c r="V36" s="4" t="s">
        <v>328</v>
      </c>
      <c r="X36" s="4" t="s">
        <v>329</v>
      </c>
      <c r="Y36" s="3" t="s">
        <v>30</v>
      </c>
      <c r="Z36" s="3" t="s">
        <v>30</v>
      </c>
      <c r="AA36" s="3">
        <v>7</v>
      </c>
      <c r="AB36" s="3" t="s">
        <v>330</v>
      </c>
      <c r="AD36" s="3" t="s">
        <v>23</v>
      </c>
      <c r="AH36" s="15" t="str">
        <f>IFERROR(VLOOKUP(Form_Responses[[#This Row],[Nombre Técnico]],'masa de trabajo'!$B:$C,2,0),"")</f>
        <v>SI</v>
      </c>
      <c r="AI36" s="12" t="str">
        <f>VLOOKUP(Form_Responses[[#This Row],[Nombre Técnico]],'masa de trabajo'!$B:$E,3,0)</f>
        <v>SI</v>
      </c>
      <c r="AJ36" s="12" t="str">
        <f>VLOOKUP(Form_Responses[[#This Row],[Nombre Técnico]],'masa de trabajo'!$B:$E,4,0)</f>
        <v>-</v>
      </c>
    </row>
    <row r="37" spans="1:36" ht="15.75" customHeight="1" x14ac:dyDescent="0.25">
      <c r="A37" s="1">
        <v>46271.935383136573</v>
      </c>
      <c r="B37" s="10">
        <v>8</v>
      </c>
      <c r="C37" s="3" t="s">
        <v>331</v>
      </c>
      <c r="D37" s="3" t="s">
        <v>101</v>
      </c>
      <c r="E37" s="3" t="s">
        <v>17</v>
      </c>
      <c r="F37" s="3" t="s">
        <v>18</v>
      </c>
      <c r="G37" s="3" t="s">
        <v>18</v>
      </c>
      <c r="I37" s="3" t="s">
        <v>19</v>
      </c>
      <c r="J37" s="3" t="s">
        <v>65</v>
      </c>
      <c r="L37" s="3" t="s">
        <v>332</v>
      </c>
      <c r="N37" s="3" t="s">
        <v>23</v>
      </c>
      <c r="P37" s="3">
        <v>2</v>
      </c>
      <c r="Q37" s="3" t="s">
        <v>23</v>
      </c>
      <c r="R37" s="3" t="s">
        <v>23</v>
      </c>
      <c r="S37" s="3" t="s">
        <v>333</v>
      </c>
      <c r="T37" s="16" t="s">
        <v>334</v>
      </c>
      <c r="U37" s="4" t="s">
        <v>335</v>
      </c>
      <c r="V37" s="4" t="s">
        <v>336</v>
      </c>
      <c r="X37" s="4" t="s">
        <v>337</v>
      </c>
      <c r="Y37" s="3" t="s">
        <v>30</v>
      </c>
      <c r="Z37" s="3" t="s">
        <v>30</v>
      </c>
      <c r="AA37" s="3">
        <v>6</v>
      </c>
      <c r="AB37" s="3" t="s">
        <v>338</v>
      </c>
      <c r="AC37" s="3" t="s">
        <v>23</v>
      </c>
      <c r="AD37" s="3" t="s">
        <v>23</v>
      </c>
      <c r="AF37" s="3" t="s">
        <v>23</v>
      </c>
      <c r="AH37" s="15" t="str">
        <f>IFERROR(VLOOKUP(Form_Responses[[#This Row],[Nombre Técnico]],'masa de trabajo'!$B:$C,2,0),"")</f>
        <v>SI</v>
      </c>
      <c r="AI37" s="12" t="str">
        <f>VLOOKUP(Form_Responses[[#This Row],[Nombre Técnico]],'masa de trabajo'!$B:$E,3,0)</f>
        <v>SI</v>
      </c>
      <c r="AJ37" s="12" t="str">
        <f>VLOOKUP(Form_Responses[[#This Row],[Nombre Técnico]],'masa de trabajo'!$B:$E,4,0)</f>
        <v>-</v>
      </c>
    </row>
    <row r="38" spans="1:36" ht="15.75" customHeight="1" x14ac:dyDescent="0.25">
      <c r="A38" s="1">
        <v>46271.948370185186</v>
      </c>
      <c r="B38" s="10">
        <v>8</v>
      </c>
      <c r="C38" s="3" t="s">
        <v>339</v>
      </c>
      <c r="D38" s="3" t="s">
        <v>340</v>
      </c>
      <c r="E38" s="3" t="s">
        <v>17</v>
      </c>
      <c r="F38" s="3" t="s">
        <v>18</v>
      </c>
      <c r="G38" s="3" t="s">
        <v>18</v>
      </c>
      <c r="I38" s="3" t="s">
        <v>19</v>
      </c>
      <c r="J38" s="3" t="s">
        <v>65</v>
      </c>
      <c r="L38" s="3" t="s">
        <v>341</v>
      </c>
      <c r="N38" s="3" t="s">
        <v>23</v>
      </c>
      <c r="Q38" s="3" t="s">
        <v>23</v>
      </c>
      <c r="R38" s="3" t="s">
        <v>23</v>
      </c>
      <c r="S38" s="3" t="s">
        <v>342</v>
      </c>
      <c r="T38" s="3">
        <v>4</v>
      </c>
      <c r="U38" s="4" t="s">
        <v>343</v>
      </c>
      <c r="V38" s="4" t="s">
        <v>344</v>
      </c>
      <c r="X38" s="4" t="s">
        <v>345</v>
      </c>
      <c r="Y38" s="3" t="s">
        <v>30</v>
      </c>
      <c r="Z38" s="3" t="s">
        <v>30</v>
      </c>
      <c r="AA38" s="3">
        <v>8</v>
      </c>
      <c r="AB38" s="3" t="s">
        <v>346</v>
      </c>
      <c r="AC38" s="3" t="s">
        <v>23</v>
      </c>
      <c r="AD38" s="3" t="s">
        <v>23</v>
      </c>
      <c r="AF38" s="3" t="s">
        <v>23</v>
      </c>
      <c r="AH38" s="15" t="str">
        <f>IFERROR(VLOOKUP(Form_Responses[[#This Row],[Nombre Técnico]],'masa de trabajo'!$B:$C,2,0),"")</f>
        <v>-</v>
      </c>
      <c r="AI38" s="12" t="str">
        <f>VLOOKUP(Form_Responses[[#This Row],[Nombre Técnico]],'masa de trabajo'!$B:$E,3,0)</f>
        <v>-</v>
      </c>
      <c r="AJ38" s="12" t="str">
        <f>VLOOKUP(Form_Responses[[#This Row],[Nombre Técnico]],'masa de trabajo'!$B:$E,4,0)</f>
        <v>-</v>
      </c>
    </row>
    <row r="39" spans="1:36" ht="15.75" customHeight="1" x14ac:dyDescent="0.25">
      <c r="A39" s="1">
        <v>46271.955678379629</v>
      </c>
      <c r="B39" s="10">
        <v>7</v>
      </c>
      <c r="C39" s="3" t="s">
        <v>347</v>
      </c>
      <c r="D39" s="3" t="s">
        <v>348</v>
      </c>
      <c r="E39" s="3" t="s">
        <v>17</v>
      </c>
      <c r="F39" s="3" t="s">
        <v>18</v>
      </c>
      <c r="G39" s="3" t="s">
        <v>18</v>
      </c>
      <c r="I39" s="3" t="s">
        <v>19</v>
      </c>
      <c r="J39" s="3" t="s">
        <v>41</v>
      </c>
      <c r="L39" s="3" t="s">
        <v>349</v>
      </c>
      <c r="N39" s="3" t="s">
        <v>23</v>
      </c>
      <c r="P39" s="3">
        <v>1</v>
      </c>
      <c r="Q39" s="3" t="s">
        <v>23</v>
      </c>
      <c r="R39" s="3" t="s">
        <v>23</v>
      </c>
      <c r="S39" s="3" t="s">
        <v>350</v>
      </c>
      <c r="T39" s="3">
        <v>3</v>
      </c>
      <c r="U39" s="4" t="s">
        <v>351</v>
      </c>
      <c r="V39" s="4" t="s">
        <v>352</v>
      </c>
      <c r="W39" s="4" t="s">
        <v>353</v>
      </c>
      <c r="X39" s="4" t="s">
        <v>354</v>
      </c>
      <c r="Y39" s="3" t="s">
        <v>30</v>
      </c>
      <c r="Z39" s="3" t="s">
        <v>72</v>
      </c>
      <c r="AA39" s="3">
        <v>5</v>
      </c>
      <c r="AB39" s="3" t="s">
        <v>355</v>
      </c>
      <c r="AC39" s="3" t="s">
        <v>23</v>
      </c>
      <c r="AD39" s="3" t="s">
        <v>23</v>
      </c>
      <c r="AE39" s="3" t="s">
        <v>23</v>
      </c>
      <c r="AF39" s="3" t="s">
        <v>23</v>
      </c>
      <c r="AH39" s="15" t="str">
        <f>IFERROR(VLOOKUP(Form_Responses[[#This Row],[Nombre Técnico]],'masa de trabajo'!$B:$C,2,0),"")</f>
        <v>-</v>
      </c>
      <c r="AI39" s="12" t="str">
        <f>VLOOKUP(Form_Responses[[#This Row],[Nombre Técnico]],'masa de trabajo'!$B:$E,3,0)</f>
        <v>-</v>
      </c>
      <c r="AJ39" s="12" t="str">
        <f>VLOOKUP(Form_Responses[[#This Row],[Nombre Técnico]],'masa de trabajo'!$B:$E,4,0)</f>
        <v>-</v>
      </c>
    </row>
    <row r="40" spans="1:36" ht="15.75" customHeight="1" x14ac:dyDescent="0.25">
      <c r="A40" s="1">
        <v>46271.963903287033</v>
      </c>
      <c r="B40" s="10">
        <v>8</v>
      </c>
      <c r="C40" s="3" t="s">
        <v>356</v>
      </c>
      <c r="D40" s="3" t="s">
        <v>157</v>
      </c>
      <c r="E40" s="3" t="s">
        <v>17</v>
      </c>
      <c r="F40" s="3" t="s">
        <v>18</v>
      </c>
      <c r="G40" s="3" t="s">
        <v>18</v>
      </c>
      <c r="I40" s="3" t="s">
        <v>19</v>
      </c>
      <c r="J40" s="3" t="s">
        <v>41</v>
      </c>
      <c r="L40" s="3" t="s">
        <v>357</v>
      </c>
      <c r="N40" s="3" t="s">
        <v>23</v>
      </c>
      <c r="Q40" s="3" t="s">
        <v>23</v>
      </c>
      <c r="R40" s="3" t="s">
        <v>23</v>
      </c>
      <c r="S40" s="3" t="s">
        <v>159</v>
      </c>
      <c r="T40" s="3">
        <v>4</v>
      </c>
      <c r="U40" s="4" t="s">
        <v>358</v>
      </c>
      <c r="V40" s="4" t="s">
        <v>359</v>
      </c>
      <c r="W40" s="4" t="s">
        <v>360</v>
      </c>
      <c r="X40" s="4" t="s">
        <v>361</v>
      </c>
      <c r="Y40" s="3" t="s">
        <v>30</v>
      </c>
      <c r="Z40" s="3" t="s">
        <v>30</v>
      </c>
      <c r="AA40" s="3">
        <v>8</v>
      </c>
      <c r="AB40" s="3" t="s">
        <v>362</v>
      </c>
      <c r="AC40" s="3" t="s">
        <v>23</v>
      </c>
      <c r="AD40" s="3" t="s">
        <v>23</v>
      </c>
      <c r="AE40" s="3" t="s">
        <v>21</v>
      </c>
      <c r="AF40" s="3" t="s">
        <v>23</v>
      </c>
      <c r="AG40" s="3" t="s">
        <v>21</v>
      </c>
      <c r="AH40" s="15" t="str">
        <f>IFERROR(VLOOKUP(Form_Responses[[#This Row],[Nombre Técnico]],'masa de trabajo'!$B:$C,2,0),"")</f>
        <v>-</v>
      </c>
      <c r="AI40" s="12" t="str">
        <f>VLOOKUP(Form_Responses[[#This Row],[Nombre Técnico]],'masa de trabajo'!$B:$E,3,0)</f>
        <v>-</v>
      </c>
      <c r="AJ40" s="12" t="str">
        <f>VLOOKUP(Form_Responses[[#This Row],[Nombre Técnico]],'masa de trabajo'!$B:$E,4,0)</f>
        <v>-</v>
      </c>
    </row>
    <row r="41" spans="1:36" ht="15.75" customHeight="1" x14ac:dyDescent="0.25">
      <c r="A41" s="1">
        <v>46272.725015509262</v>
      </c>
      <c r="B41" s="10">
        <v>9</v>
      </c>
      <c r="C41" s="3" t="s">
        <v>363</v>
      </c>
      <c r="D41" s="3" t="s">
        <v>364</v>
      </c>
      <c r="E41" s="3" t="s">
        <v>53</v>
      </c>
      <c r="F41" s="3" t="s">
        <v>18</v>
      </c>
      <c r="G41" s="3" t="s">
        <v>18</v>
      </c>
      <c r="I41" s="3" t="s">
        <v>19</v>
      </c>
      <c r="J41" s="3" t="s">
        <v>41</v>
      </c>
      <c r="K41" s="3" t="s">
        <v>23</v>
      </c>
      <c r="L41" s="3" t="s">
        <v>365</v>
      </c>
      <c r="M41" s="3" t="s">
        <v>23</v>
      </c>
      <c r="N41" s="3" t="s">
        <v>21</v>
      </c>
      <c r="Q41" s="3" t="s">
        <v>23</v>
      </c>
      <c r="R41" s="3" t="s">
        <v>23</v>
      </c>
      <c r="T41" s="3">
        <v>4</v>
      </c>
      <c r="U41" s="4" t="s">
        <v>366</v>
      </c>
      <c r="V41" s="4" t="s">
        <v>367</v>
      </c>
      <c r="W41" s="4" t="s">
        <v>368</v>
      </c>
      <c r="X41" s="4" t="s">
        <v>369</v>
      </c>
      <c r="Y41" s="3" t="s">
        <v>30</v>
      </c>
      <c r="Z41" s="3" t="s">
        <v>30</v>
      </c>
      <c r="AA41" s="3">
        <v>9</v>
      </c>
      <c r="AB41" s="3" t="s">
        <v>291</v>
      </c>
      <c r="AC41" s="3" t="s">
        <v>23</v>
      </c>
      <c r="AD41" s="3" t="s">
        <v>23</v>
      </c>
      <c r="AE41" s="3" t="s">
        <v>21</v>
      </c>
      <c r="AF41" s="3" t="s">
        <v>23</v>
      </c>
      <c r="AG41" s="3" t="s">
        <v>21</v>
      </c>
      <c r="AH41" s="15" t="str">
        <f>IFERROR(VLOOKUP(Form_Responses[[#This Row],[Nombre Técnico]],'masa de trabajo'!$B:$C,2,0),"")</f>
        <v>-</v>
      </c>
      <c r="AI41" s="12" t="str">
        <f>VLOOKUP(Form_Responses[[#This Row],[Nombre Técnico]],'masa de trabajo'!$B:$E,3,0)</f>
        <v>-</v>
      </c>
      <c r="AJ41" s="12" t="str">
        <f>VLOOKUP(Form_Responses[[#This Row],[Nombre Técnico]],'masa de trabajo'!$B:$E,4,0)</f>
        <v>-</v>
      </c>
    </row>
    <row r="42" spans="1:36" ht="15.75" customHeight="1" x14ac:dyDescent="0.25">
      <c r="A42" s="1">
        <v>46273.385448194444</v>
      </c>
      <c r="B42" s="10">
        <v>8</v>
      </c>
      <c r="C42" s="3" t="s">
        <v>370</v>
      </c>
      <c r="D42" s="3" t="s">
        <v>143</v>
      </c>
      <c r="E42" s="3" t="s">
        <v>53</v>
      </c>
      <c r="F42" s="3" t="s">
        <v>18</v>
      </c>
      <c r="G42" s="3" t="s">
        <v>18</v>
      </c>
      <c r="I42" s="3" t="s">
        <v>19</v>
      </c>
      <c r="J42" s="3" t="s">
        <v>20</v>
      </c>
      <c r="K42" s="3" t="s">
        <v>23</v>
      </c>
      <c r="L42" s="3" t="s">
        <v>371</v>
      </c>
      <c r="M42" s="3" t="s">
        <v>23</v>
      </c>
      <c r="N42" s="3" t="s">
        <v>21</v>
      </c>
      <c r="Q42" s="3" t="s">
        <v>23</v>
      </c>
      <c r="R42" s="3" t="s">
        <v>23</v>
      </c>
      <c r="S42" s="3" t="s">
        <v>372</v>
      </c>
      <c r="T42" s="3">
        <v>4</v>
      </c>
      <c r="U42" s="4" t="s">
        <v>373</v>
      </c>
      <c r="V42" s="4" t="s">
        <v>374</v>
      </c>
      <c r="W42" s="4" t="s">
        <v>375</v>
      </c>
      <c r="X42" s="4" t="s">
        <v>376</v>
      </c>
      <c r="Y42" s="3" t="s">
        <v>30</v>
      </c>
      <c r="Z42" s="3" t="s">
        <v>30</v>
      </c>
      <c r="AA42" s="3">
        <v>9</v>
      </c>
      <c r="AB42" s="3" t="s">
        <v>377</v>
      </c>
      <c r="AC42" s="3" t="s">
        <v>77</v>
      </c>
      <c r="AD42" s="3" t="s">
        <v>23</v>
      </c>
      <c r="AE42" s="3" t="s">
        <v>21</v>
      </c>
      <c r="AF42" s="3" t="s">
        <v>23</v>
      </c>
      <c r="AG42" s="3" t="s">
        <v>21</v>
      </c>
      <c r="AH42" s="15" t="str">
        <f>IFERROR(VLOOKUP(Form_Responses[[#This Row],[Nombre Técnico]],'masa de trabajo'!$B:$C,2,0),"")</f>
        <v>-</v>
      </c>
      <c r="AI42" s="12" t="str">
        <f>VLOOKUP(Form_Responses[[#This Row],[Nombre Técnico]],'masa de trabajo'!$B:$E,3,0)</f>
        <v>-</v>
      </c>
      <c r="AJ42" s="12" t="str">
        <f>VLOOKUP(Form_Responses[[#This Row],[Nombre Técnico]],'masa de trabajo'!$B:$E,4,0)</f>
        <v>-</v>
      </c>
    </row>
    <row r="43" spans="1:36" ht="15.75" customHeight="1" x14ac:dyDescent="0.25">
      <c r="A43" s="1">
        <v>46273.679735358797</v>
      </c>
      <c r="B43" s="10">
        <v>8</v>
      </c>
      <c r="C43" s="3" t="s">
        <v>378</v>
      </c>
      <c r="D43" s="3" t="s">
        <v>174</v>
      </c>
      <c r="E43" s="3" t="s">
        <v>53</v>
      </c>
      <c r="F43" s="3" t="s">
        <v>18</v>
      </c>
      <c r="G43" s="3" t="s">
        <v>18</v>
      </c>
      <c r="I43" s="3" t="s">
        <v>19</v>
      </c>
      <c r="J43" s="3" t="s">
        <v>20</v>
      </c>
      <c r="K43" s="3" t="s">
        <v>23</v>
      </c>
      <c r="L43" s="3" t="s">
        <v>379</v>
      </c>
      <c r="N43" s="3" t="s">
        <v>23</v>
      </c>
      <c r="Q43" s="3" t="s">
        <v>23</v>
      </c>
      <c r="R43" s="3" t="s">
        <v>23</v>
      </c>
      <c r="T43" s="3">
        <v>4</v>
      </c>
      <c r="U43" s="4" t="s">
        <v>380</v>
      </c>
      <c r="V43" s="4" t="s">
        <v>381</v>
      </c>
      <c r="W43" s="4" t="s">
        <v>382</v>
      </c>
      <c r="X43" s="4" t="s">
        <v>383</v>
      </c>
      <c r="Y43" s="3" t="s">
        <v>30</v>
      </c>
      <c r="Z43" s="3" t="s">
        <v>30</v>
      </c>
      <c r="AA43" s="3">
        <v>9</v>
      </c>
      <c r="AB43" s="3" t="s">
        <v>384</v>
      </c>
      <c r="AC43" s="3" t="s">
        <v>77</v>
      </c>
      <c r="AD43" s="3" t="s">
        <v>23</v>
      </c>
      <c r="AE43" s="3" t="s">
        <v>21</v>
      </c>
      <c r="AF43" s="3" t="s">
        <v>23</v>
      </c>
      <c r="AG43" s="3" t="s">
        <v>21</v>
      </c>
      <c r="AH43" s="15" t="str">
        <f>IFERROR(VLOOKUP(Form_Responses[[#This Row],[Nombre Técnico]],'masa de trabajo'!$B:$C,2,0),"")</f>
        <v>SI</v>
      </c>
      <c r="AI43" s="12" t="str">
        <f>VLOOKUP(Form_Responses[[#This Row],[Nombre Técnico]],'masa de trabajo'!$B:$E,3,0)</f>
        <v>SI</v>
      </c>
      <c r="AJ43" s="12" t="str">
        <f>VLOOKUP(Form_Responses[[#This Row],[Nombre Técnico]],'masa de trabajo'!$B:$E,4,0)</f>
        <v>-</v>
      </c>
    </row>
    <row r="44" spans="1:36" ht="15.75" customHeight="1" x14ac:dyDescent="0.25">
      <c r="A44" s="1">
        <v>46275.333339247685</v>
      </c>
      <c r="B44" s="10">
        <v>8</v>
      </c>
      <c r="C44" s="3" t="s">
        <v>385</v>
      </c>
      <c r="D44" s="3" t="s">
        <v>63</v>
      </c>
      <c r="E44" s="3" t="s">
        <v>53</v>
      </c>
      <c r="F44" s="3" t="s">
        <v>18</v>
      </c>
      <c r="G44" s="3" t="s">
        <v>18</v>
      </c>
      <c r="I44" s="3" t="s">
        <v>128</v>
      </c>
      <c r="J44" s="3" t="s">
        <v>65</v>
      </c>
      <c r="K44" s="3" t="s">
        <v>23</v>
      </c>
      <c r="L44" s="3" t="s">
        <v>386</v>
      </c>
      <c r="M44" s="3" t="s">
        <v>23</v>
      </c>
      <c r="N44" s="3" t="s">
        <v>23</v>
      </c>
      <c r="Q44" s="3" t="s">
        <v>23</v>
      </c>
      <c r="R44" s="3" t="s">
        <v>23</v>
      </c>
      <c r="S44" s="3" t="s">
        <v>387</v>
      </c>
      <c r="T44" s="3">
        <v>4</v>
      </c>
      <c r="U44" s="4" t="s">
        <v>388</v>
      </c>
      <c r="V44" s="4" t="s">
        <v>389</v>
      </c>
      <c r="W44" s="4" t="s">
        <v>390</v>
      </c>
      <c r="X44" s="4" t="s">
        <v>391</v>
      </c>
      <c r="Y44" s="3" t="s">
        <v>30</v>
      </c>
      <c r="Z44" s="3" t="s">
        <v>30</v>
      </c>
      <c r="AA44" s="3">
        <v>9</v>
      </c>
      <c r="AB44" s="3" t="s">
        <v>392</v>
      </c>
      <c r="AD44" s="3" t="s">
        <v>23</v>
      </c>
      <c r="AE44" s="3" t="s">
        <v>21</v>
      </c>
      <c r="AG44" s="3" t="s">
        <v>21</v>
      </c>
      <c r="AH44" s="15" t="str">
        <f>IFERROR(VLOOKUP(Form_Responses[[#This Row],[Nombre Técnico]],'masa de trabajo'!$B:$C,2,0),"")</f>
        <v>SI</v>
      </c>
      <c r="AI44" s="12" t="str">
        <f>VLOOKUP(Form_Responses[[#This Row],[Nombre Técnico]],'masa de trabajo'!$B:$E,3,0)</f>
        <v>SI</v>
      </c>
      <c r="AJ44" s="12" t="str">
        <f>VLOOKUP(Form_Responses[[#This Row],[Nombre Técnico]],'masa de trabajo'!$B:$E,4,0)</f>
        <v>-</v>
      </c>
    </row>
    <row r="45" spans="1:36" ht="15.75" customHeight="1" x14ac:dyDescent="0.25">
      <c r="A45" s="1">
        <v>46275.584452997689</v>
      </c>
      <c r="B45" s="10">
        <v>6</v>
      </c>
      <c r="C45" s="3" t="s">
        <v>393</v>
      </c>
      <c r="D45" s="3" t="s">
        <v>52</v>
      </c>
      <c r="E45" s="3" t="s">
        <v>53</v>
      </c>
      <c r="F45" s="3" t="s">
        <v>18</v>
      </c>
      <c r="G45" s="3" t="s">
        <v>18</v>
      </c>
      <c r="I45" s="3" t="s">
        <v>128</v>
      </c>
      <c r="J45" s="3" t="s">
        <v>20</v>
      </c>
      <c r="L45" s="3" t="s">
        <v>394</v>
      </c>
      <c r="N45" s="3" t="s">
        <v>23</v>
      </c>
      <c r="Q45" s="3" t="s">
        <v>23</v>
      </c>
      <c r="R45" s="3" t="s">
        <v>23</v>
      </c>
      <c r="S45" s="3" t="s">
        <v>395</v>
      </c>
      <c r="T45" s="3">
        <v>4</v>
      </c>
      <c r="U45" s="4" t="s">
        <v>396</v>
      </c>
      <c r="V45" s="4" t="s">
        <v>397</v>
      </c>
      <c r="W45" s="4" t="s">
        <v>398</v>
      </c>
      <c r="X45" s="4" t="s">
        <v>399</v>
      </c>
      <c r="Y45" s="3" t="s">
        <v>30</v>
      </c>
      <c r="Z45" s="3" t="s">
        <v>30</v>
      </c>
      <c r="AA45" s="3">
        <v>9</v>
      </c>
      <c r="AB45" s="3" t="s">
        <v>400</v>
      </c>
      <c r="AD45" s="3" t="s">
        <v>23</v>
      </c>
      <c r="AE45" s="3" t="s">
        <v>21</v>
      </c>
      <c r="AG45" s="3" t="s">
        <v>21</v>
      </c>
      <c r="AH45" s="15" t="str">
        <f>IFERROR(VLOOKUP(Form_Responses[[#This Row],[Nombre Técnico]],'masa de trabajo'!$B:$C,2,0),"")</f>
        <v>SI</v>
      </c>
      <c r="AI45" s="12" t="str">
        <f>VLOOKUP(Form_Responses[[#This Row],[Nombre Técnico]],'masa de trabajo'!$B:$E,3,0)</f>
        <v>-</v>
      </c>
      <c r="AJ45" s="12" t="str">
        <f>VLOOKUP(Form_Responses[[#This Row],[Nombre Técnico]],'masa de trabajo'!$B:$E,4,0)</f>
        <v>-</v>
      </c>
    </row>
    <row r="46" spans="1:36" ht="15.75" customHeight="1" x14ac:dyDescent="0.25">
      <c r="A46" s="1">
        <v>46275.784461053241</v>
      </c>
      <c r="B46" s="10">
        <v>9</v>
      </c>
      <c r="C46" s="3" t="s">
        <v>401</v>
      </c>
      <c r="D46" s="3" t="s">
        <v>84</v>
      </c>
      <c r="E46" s="3" t="s">
        <v>53</v>
      </c>
      <c r="F46" s="3" t="s">
        <v>18</v>
      </c>
      <c r="G46" s="3" t="s">
        <v>18</v>
      </c>
      <c r="I46" s="3" t="s">
        <v>19</v>
      </c>
      <c r="J46" s="3" t="s">
        <v>41</v>
      </c>
      <c r="K46" s="3" t="s">
        <v>23</v>
      </c>
      <c r="L46" s="3" t="s">
        <v>402</v>
      </c>
      <c r="M46" s="3" t="s">
        <v>23</v>
      </c>
      <c r="N46" s="3" t="s">
        <v>21</v>
      </c>
      <c r="Q46" s="3" t="s">
        <v>23</v>
      </c>
      <c r="R46" s="3" t="s">
        <v>23</v>
      </c>
      <c r="S46" s="3" t="s">
        <v>403</v>
      </c>
      <c r="T46" s="3">
        <v>4</v>
      </c>
      <c r="U46" s="4" t="s">
        <v>404</v>
      </c>
      <c r="V46" s="4" t="s">
        <v>405</v>
      </c>
      <c r="W46" s="4" t="s">
        <v>406</v>
      </c>
      <c r="X46" s="4" t="s">
        <v>407</v>
      </c>
      <c r="Y46" s="3" t="s">
        <v>30</v>
      </c>
      <c r="Z46" s="3" t="s">
        <v>30</v>
      </c>
      <c r="AA46" s="3">
        <v>9</v>
      </c>
      <c r="AB46" s="3" t="s">
        <v>408</v>
      </c>
      <c r="AC46" s="3" t="s">
        <v>23</v>
      </c>
      <c r="AD46" s="3" t="s">
        <v>23</v>
      </c>
      <c r="AE46" s="3" t="s">
        <v>21</v>
      </c>
      <c r="AF46" s="3" t="s">
        <v>23</v>
      </c>
      <c r="AG46" s="3" t="s">
        <v>21</v>
      </c>
      <c r="AH46" s="15" t="str">
        <f>IFERROR(VLOOKUP(Form_Responses[[#This Row],[Nombre Técnico]],'masa de trabajo'!$B:$C,2,0),"")</f>
        <v>SI</v>
      </c>
      <c r="AI46" s="12" t="str">
        <f>VLOOKUP(Form_Responses[[#This Row],[Nombre Técnico]],'masa de trabajo'!$B:$E,3,0)</f>
        <v>SI</v>
      </c>
      <c r="AJ46" s="12" t="str">
        <f>VLOOKUP(Form_Responses[[#This Row],[Nombre Técnico]],'masa de trabajo'!$B:$E,4,0)</f>
        <v>-</v>
      </c>
    </row>
    <row r="47" spans="1:36" ht="15.75" customHeight="1" x14ac:dyDescent="0.25">
      <c r="A47" s="1">
        <v>46279.750844733797</v>
      </c>
      <c r="B47" s="10">
        <v>8</v>
      </c>
      <c r="C47" s="3" t="s">
        <v>409</v>
      </c>
      <c r="D47" s="3" t="s">
        <v>52</v>
      </c>
      <c r="E47" s="3" t="s">
        <v>53</v>
      </c>
      <c r="F47" s="3" t="s">
        <v>18</v>
      </c>
      <c r="G47" s="3" t="s">
        <v>18</v>
      </c>
      <c r="I47" s="3" t="s">
        <v>128</v>
      </c>
      <c r="J47" s="3" t="s">
        <v>41</v>
      </c>
      <c r="K47" s="3" t="s">
        <v>23</v>
      </c>
      <c r="L47" s="3" t="s">
        <v>410</v>
      </c>
      <c r="M47" s="3" t="s">
        <v>23</v>
      </c>
      <c r="N47" s="3" t="s">
        <v>23</v>
      </c>
      <c r="P47" s="3">
        <v>1</v>
      </c>
      <c r="Q47" s="3" t="s">
        <v>23</v>
      </c>
      <c r="R47" s="3" t="s">
        <v>23</v>
      </c>
      <c r="S47" s="3" t="s">
        <v>411</v>
      </c>
      <c r="T47" s="3">
        <v>4</v>
      </c>
      <c r="U47" s="4" t="s">
        <v>412</v>
      </c>
      <c r="V47" s="4" t="s">
        <v>413</v>
      </c>
      <c r="W47" s="4" t="s">
        <v>414</v>
      </c>
      <c r="X47" s="4" t="s">
        <v>415</v>
      </c>
      <c r="Y47" s="3" t="s">
        <v>30</v>
      </c>
      <c r="Z47" s="3" t="s">
        <v>30</v>
      </c>
      <c r="AA47" s="3">
        <v>9</v>
      </c>
      <c r="AB47" s="3" t="s">
        <v>416</v>
      </c>
      <c r="AD47" s="3" t="s">
        <v>23</v>
      </c>
      <c r="AE47" s="3" t="s">
        <v>21</v>
      </c>
      <c r="AG47" s="3" t="s">
        <v>21</v>
      </c>
      <c r="AH47" s="15" t="str">
        <f>IFERROR(VLOOKUP(Form_Responses[[#This Row],[Nombre Técnico]],'masa de trabajo'!$B:$C,2,0),"")</f>
        <v>SI</v>
      </c>
      <c r="AI47" s="12" t="str">
        <f>VLOOKUP(Form_Responses[[#This Row],[Nombre Técnico]],'masa de trabajo'!$B:$E,3,0)</f>
        <v>-</v>
      </c>
      <c r="AJ47" s="12" t="str">
        <f>VLOOKUP(Form_Responses[[#This Row],[Nombre Técnico]],'masa de trabajo'!$B:$E,4,0)</f>
        <v>-</v>
      </c>
    </row>
    <row r="48" spans="1:36" ht="15.75" customHeight="1" x14ac:dyDescent="0.25">
      <c r="A48" s="1">
        <v>46280.683903900463</v>
      </c>
      <c r="B48" s="10">
        <v>7</v>
      </c>
      <c r="C48" s="3" t="s">
        <v>417</v>
      </c>
      <c r="D48" s="3" t="s">
        <v>221</v>
      </c>
      <c r="E48" s="3" t="s">
        <v>53</v>
      </c>
      <c r="F48" s="3" t="s">
        <v>18</v>
      </c>
      <c r="G48" s="3" t="s">
        <v>18</v>
      </c>
      <c r="I48" s="3" t="s">
        <v>128</v>
      </c>
      <c r="J48" s="3" t="s">
        <v>41</v>
      </c>
      <c r="K48" s="3" t="s">
        <v>23</v>
      </c>
      <c r="L48" s="3" t="s">
        <v>418</v>
      </c>
      <c r="N48" s="3" t="s">
        <v>23</v>
      </c>
      <c r="O48" s="3" t="s">
        <v>23</v>
      </c>
      <c r="P48" s="3">
        <v>1</v>
      </c>
      <c r="Q48" s="3" t="s">
        <v>23</v>
      </c>
      <c r="R48" s="3" t="s">
        <v>23</v>
      </c>
      <c r="S48" s="3" t="s">
        <v>419</v>
      </c>
      <c r="T48" s="3">
        <v>4</v>
      </c>
      <c r="U48" s="4" t="s">
        <v>420</v>
      </c>
      <c r="V48" s="4" t="s">
        <v>421</v>
      </c>
      <c r="W48" s="4" t="s">
        <v>422</v>
      </c>
      <c r="X48" s="4" t="s">
        <v>423</v>
      </c>
      <c r="Y48" s="3" t="s">
        <v>30</v>
      </c>
      <c r="Z48" s="3" t="s">
        <v>30</v>
      </c>
      <c r="AA48" s="3">
        <v>9</v>
      </c>
      <c r="AB48" s="3" t="s">
        <v>424</v>
      </c>
      <c r="AD48" s="3" t="s">
        <v>23</v>
      </c>
      <c r="AE48" s="3" t="s">
        <v>21</v>
      </c>
      <c r="AG48" s="3" t="s">
        <v>21</v>
      </c>
      <c r="AH48" s="15" t="str">
        <f>IFERROR(VLOOKUP(Form_Responses[[#This Row],[Nombre Técnico]],'masa de trabajo'!$B:$C,2,0),"")</f>
        <v>-</v>
      </c>
      <c r="AI48" s="12" t="str">
        <f>VLOOKUP(Form_Responses[[#This Row],[Nombre Técnico]],'masa de trabajo'!$B:$E,3,0)</f>
        <v>-</v>
      </c>
      <c r="AJ48" s="12" t="str">
        <f>VLOOKUP(Form_Responses[[#This Row],[Nombre Técnico]],'masa de trabajo'!$B:$E,4,0)</f>
        <v>-</v>
      </c>
    </row>
    <row r="49" spans="1:36" ht="15.75" customHeight="1" x14ac:dyDescent="0.25">
      <c r="A49" s="1">
        <v>46281.319375243052</v>
      </c>
      <c r="B49" s="10">
        <v>7</v>
      </c>
      <c r="C49" s="3" t="s">
        <v>425</v>
      </c>
      <c r="D49" s="3" t="s">
        <v>143</v>
      </c>
      <c r="E49" s="3" t="s">
        <v>53</v>
      </c>
      <c r="F49" s="3" t="s">
        <v>18</v>
      </c>
      <c r="G49" s="3" t="s">
        <v>18</v>
      </c>
      <c r="I49" s="3" t="s">
        <v>19</v>
      </c>
      <c r="J49" s="3" t="s">
        <v>41</v>
      </c>
      <c r="L49" s="3" t="s">
        <v>426</v>
      </c>
      <c r="N49" s="3" t="s">
        <v>23</v>
      </c>
      <c r="Q49" s="3" t="s">
        <v>23</v>
      </c>
      <c r="R49" s="3" t="s">
        <v>23</v>
      </c>
      <c r="S49" s="3" t="s">
        <v>427</v>
      </c>
      <c r="T49" s="3">
        <v>4</v>
      </c>
      <c r="U49" s="4" t="s">
        <v>428</v>
      </c>
      <c r="V49" s="4" t="s">
        <v>429</v>
      </c>
      <c r="W49" s="4" t="s">
        <v>430</v>
      </c>
      <c r="X49" s="4" t="s">
        <v>431</v>
      </c>
      <c r="Y49" s="3" t="s">
        <v>30</v>
      </c>
      <c r="Z49" s="3" t="s">
        <v>30</v>
      </c>
      <c r="AA49" s="3">
        <v>9</v>
      </c>
      <c r="AB49" s="3" t="s">
        <v>384</v>
      </c>
      <c r="AC49" s="3" t="s">
        <v>77</v>
      </c>
      <c r="AD49" s="3" t="s">
        <v>23</v>
      </c>
      <c r="AE49" s="3" t="s">
        <v>21</v>
      </c>
      <c r="AF49" s="3" t="s">
        <v>23</v>
      </c>
      <c r="AG49" s="3" t="s">
        <v>21</v>
      </c>
      <c r="AH49" s="15" t="str">
        <f>IFERROR(VLOOKUP(Form_Responses[[#This Row],[Nombre Técnico]],'masa de trabajo'!$B:$C,2,0),"")</f>
        <v>-</v>
      </c>
      <c r="AI49" s="12" t="str">
        <f>VLOOKUP(Form_Responses[[#This Row],[Nombre Técnico]],'masa de trabajo'!$B:$E,3,0)</f>
        <v>-</v>
      </c>
      <c r="AJ49" s="12" t="str">
        <f>VLOOKUP(Form_Responses[[#This Row],[Nombre Técnico]],'masa de trabajo'!$B:$E,4,0)</f>
        <v>-</v>
      </c>
    </row>
  </sheetData>
  <phoneticPr fontId="5" type="noConversion"/>
  <hyperlinks>
    <hyperlink ref="U2" r:id="rId1" xr:uid="{24840A53-0D9F-4FB7-9829-AACFF35D7A4C}"/>
    <hyperlink ref="V2" r:id="rId2" xr:uid="{E31E9C56-13DA-4818-B898-2EECD0FD0911}"/>
    <hyperlink ref="W2" r:id="rId3" xr:uid="{CBEF14D8-DA20-4298-9D99-81D9D34D22CD}"/>
    <hyperlink ref="X2" r:id="rId4" xr:uid="{18EE46B3-BAF2-4A54-B7BF-DC495A8CD38B}"/>
    <hyperlink ref="U3" r:id="rId5" xr:uid="{9B67D365-2592-476F-8589-9D69CB19E659}"/>
    <hyperlink ref="V3" r:id="rId6" xr:uid="{D2D517AB-417F-41A9-8A16-C3AEF237A2A4}"/>
    <hyperlink ref="X3" r:id="rId7" xr:uid="{E0BC0518-9783-4BC3-A7D3-7AD304C98105}"/>
    <hyperlink ref="U4" r:id="rId8" xr:uid="{608DD207-09D3-4438-A7E0-FCF7FD6189DF}"/>
    <hyperlink ref="V4" r:id="rId9" xr:uid="{39E9A11D-2204-4C76-9FDD-8BCA2E7111D1}"/>
    <hyperlink ref="X4" r:id="rId10" xr:uid="{D6410C08-D394-4B72-9AA4-7C7966569333}"/>
    <hyperlink ref="U5" r:id="rId11" xr:uid="{B9F86F9A-142E-40A3-809F-FC020E270902}"/>
    <hyperlink ref="V5" r:id="rId12" xr:uid="{296E9C1D-30D0-46EB-A392-8EBBC73C9775}"/>
    <hyperlink ref="W5" r:id="rId13" xr:uid="{415BA41B-2377-4ED2-93B5-A09CD9A7A56A}"/>
    <hyperlink ref="X5" r:id="rId14" xr:uid="{8D2BCA0A-CFC1-46FE-8303-AD42FE73C30B}"/>
    <hyperlink ref="U6" r:id="rId15" xr:uid="{19645437-02D9-43EE-815E-E30E932637FE}"/>
    <hyperlink ref="V6" r:id="rId16" xr:uid="{2D7EF939-91A4-4A3A-8DB2-7E4A5946036F}"/>
    <hyperlink ref="W6" r:id="rId17" xr:uid="{F33AEBDC-4B36-4AD4-990C-BAF8747748EB}"/>
    <hyperlink ref="X6" r:id="rId18" xr:uid="{835B2419-A752-4C2E-9903-C30AA2739042}"/>
    <hyperlink ref="U7" r:id="rId19" xr:uid="{04CEA735-E69D-411B-9D75-5DBDC9AC9215}"/>
    <hyperlink ref="V7" r:id="rId20" xr:uid="{F0820406-43AF-433C-98D6-96A868F77C6E}"/>
    <hyperlink ref="X7" r:id="rId21" xr:uid="{A12E5D97-FED9-4EF6-8BE0-B8731BA36D82}"/>
    <hyperlink ref="U8" r:id="rId22" xr:uid="{0B4472D5-1B42-445E-8EF7-4AB24461AA23}"/>
    <hyperlink ref="V8" r:id="rId23" xr:uid="{AE90C0B1-3D48-416F-B5F7-84792414AF2E}"/>
    <hyperlink ref="W8" r:id="rId24" xr:uid="{461D1D29-A84E-4A9C-BE4F-AFBA8882E853}"/>
    <hyperlink ref="X8" r:id="rId25" xr:uid="{0165C924-91E4-4A84-97C5-815BFB88BAD2}"/>
    <hyperlink ref="U9" r:id="rId26" xr:uid="{6FEE2985-3446-4D47-9ADF-38015AB6C8F7}"/>
    <hyperlink ref="V9" r:id="rId27" xr:uid="{5A8354D9-F678-43E1-8514-510E38B7041C}"/>
    <hyperlink ref="W9" r:id="rId28" xr:uid="{1BF0D57C-0600-4E6A-A5E2-F3D200491043}"/>
    <hyperlink ref="X9" r:id="rId29" xr:uid="{A26ED909-7E7F-4447-A9F0-B517C6CA0984}"/>
    <hyperlink ref="U10" r:id="rId30" xr:uid="{E3E891AF-F38E-44D5-A291-56D702B096E6}"/>
    <hyperlink ref="V10" r:id="rId31" xr:uid="{2AADE899-D8B3-4098-BED6-51A60C83C267}"/>
    <hyperlink ref="X10" r:id="rId32" xr:uid="{F780BCA8-3F46-4FD8-90BB-4FA92C5F6B36}"/>
    <hyperlink ref="U11" r:id="rId33" xr:uid="{84BCD973-5836-4FBC-AA6E-196511A42517}"/>
    <hyperlink ref="V11" r:id="rId34" xr:uid="{19334CA5-682A-4DB6-B811-08FAF68A7A92}"/>
    <hyperlink ref="W11" r:id="rId35" xr:uid="{5CD8D155-9258-4FDC-9D21-8C08583B217E}"/>
    <hyperlink ref="X11" r:id="rId36" xr:uid="{3E2548FD-728E-42A2-B191-5C04575FDFE7}"/>
    <hyperlink ref="U13" r:id="rId37" xr:uid="{C6F996FB-ECCF-4457-87BC-885ADD3FEFBB}"/>
    <hyperlink ref="V13" r:id="rId38" xr:uid="{DCF12ADA-DCB3-4F71-8802-15A4B55C5F35}"/>
    <hyperlink ref="W13" r:id="rId39" xr:uid="{358A87F5-FB3E-41FE-844D-E12FCA28182F}"/>
    <hyperlink ref="X13" r:id="rId40" xr:uid="{0D16291E-B324-4D53-9A75-AB8D26A5470B}"/>
    <hyperlink ref="W14" r:id="rId41" xr:uid="{C78561E6-6421-4D1E-9A47-D83BFA75DA4A}"/>
    <hyperlink ref="X14" r:id="rId42" xr:uid="{B055C7F4-BDF7-4CE4-893C-16EB5021D9C0}"/>
    <hyperlink ref="U15" r:id="rId43" xr:uid="{6831D432-1FE6-41F4-9FD8-E4B171707490}"/>
    <hyperlink ref="V15" r:id="rId44" xr:uid="{62A1B213-F2C4-4884-9C4E-835B63057EE3}"/>
    <hyperlink ref="X15" r:id="rId45" xr:uid="{FA8C5364-B4C0-4164-A04B-F18BE7FE2430}"/>
    <hyperlink ref="U16" r:id="rId46" xr:uid="{64B3AF7F-B2AF-4328-B75E-0DD01FE9C53A}"/>
    <hyperlink ref="V16" r:id="rId47" xr:uid="{4681BB06-00E9-4BEB-A8D6-F5C7FDFEEA8B}"/>
    <hyperlink ref="W16" r:id="rId48" xr:uid="{1D14EE08-9106-4D48-B486-E766EE11FF57}"/>
    <hyperlink ref="X16" r:id="rId49" xr:uid="{BADE6ED6-C03D-4208-8C2B-3628EDA5F68C}"/>
    <hyperlink ref="U17" r:id="rId50" xr:uid="{707C08C2-559F-490C-905E-DA18AA141F71}"/>
    <hyperlink ref="V17" r:id="rId51" xr:uid="{2361E213-9D6D-4AB0-9A29-C7F9758AD1A1}"/>
    <hyperlink ref="X17" r:id="rId52" xr:uid="{196363BB-14B9-4F55-8AE2-3E765C2C3EC2}"/>
    <hyperlink ref="U18" r:id="rId53" xr:uid="{1643F68F-AFEE-40F5-BB6D-0A5F9398D78B}"/>
    <hyperlink ref="V18" r:id="rId54" xr:uid="{332F80D9-7AD6-4C89-A46A-28F4F3AB9FC8}"/>
    <hyperlink ref="W18" r:id="rId55" xr:uid="{9A436988-A437-4315-A66C-EFFE554A52F2}"/>
    <hyperlink ref="X18" r:id="rId56" xr:uid="{87D520B5-BD1F-4545-A07C-79CB7362DDDB}"/>
    <hyperlink ref="U19" r:id="rId57" xr:uid="{C80DA050-6ADD-4ED9-A6F0-16409111C51A}"/>
    <hyperlink ref="V19" r:id="rId58" xr:uid="{397DEEB2-801F-408B-9B6D-F2DB9D937E33}"/>
    <hyperlink ref="W19" r:id="rId59" xr:uid="{21CE78B8-1B26-47F6-96CC-106502D7D965}"/>
    <hyperlink ref="X19" r:id="rId60" xr:uid="{29DBBCFC-01A9-4223-B2E9-B3F6E48F8CF1}"/>
    <hyperlink ref="U20" r:id="rId61" xr:uid="{8BD8B9F9-A794-4CEC-9615-A5438306B42E}"/>
    <hyperlink ref="V20" r:id="rId62" xr:uid="{6C25E9FA-64D2-42D1-B158-951F6DD3333D}"/>
    <hyperlink ref="W20" r:id="rId63" xr:uid="{430B76F2-E1AE-4AB8-A96B-66CB67DE997E}"/>
    <hyperlink ref="X20" r:id="rId64" xr:uid="{1B36DE0E-31E8-44C8-86E0-F23D369B5CC9}"/>
    <hyperlink ref="U21" r:id="rId65" xr:uid="{0FC6F7A1-ADEA-4A4B-BFAA-C214CC4B4CFF}"/>
    <hyperlink ref="V21" r:id="rId66" xr:uid="{AB1C528E-86EC-46DD-914A-F07D2EAC9872}"/>
    <hyperlink ref="X21" r:id="rId67" xr:uid="{7126E654-BD5A-47FA-8D07-8314DF2A32AA}"/>
    <hyperlink ref="U22" r:id="rId68" xr:uid="{5CC96FEB-6958-47B9-BD84-E793F3C164C8}"/>
    <hyperlink ref="V22" r:id="rId69" xr:uid="{45187E00-F92E-468D-981B-50D96B3638D9}"/>
    <hyperlink ref="W22" r:id="rId70" xr:uid="{A94C2308-729F-4596-A11F-C0D1D7218146}"/>
    <hyperlink ref="X22" r:id="rId71" xr:uid="{E0342F70-769B-49BC-B135-4B40289FA661}"/>
    <hyperlink ref="U23" r:id="rId72" xr:uid="{68620238-3EDB-4F8F-B6FC-B86E7835B50D}"/>
    <hyperlink ref="V23" r:id="rId73" xr:uid="{E6A9D1FE-01F2-475E-9893-3B664E1DEED1}"/>
    <hyperlink ref="W23" r:id="rId74" xr:uid="{BE9C924E-8157-41FD-834F-A63278782421}"/>
    <hyperlink ref="X23" r:id="rId75" xr:uid="{EBC9C468-B7C0-4D42-8AC0-81D3716E0C4B}"/>
    <hyperlink ref="U24" r:id="rId76" xr:uid="{F9B82B02-6088-4336-80EF-C70171C9EFA3}"/>
    <hyperlink ref="V24" r:id="rId77" xr:uid="{DB30266A-2CE1-4CBA-B5DA-BA5E1D7951CC}"/>
    <hyperlink ref="W24" r:id="rId78" xr:uid="{2F420E44-6A5C-4AA0-8ADE-FDE5557C61B3}"/>
    <hyperlink ref="X24" r:id="rId79" xr:uid="{3681C826-FA7C-4EB8-9A1C-503DB4D9600B}"/>
    <hyperlink ref="U25" r:id="rId80" xr:uid="{66E13639-4F49-4312-98BB-3A1DDBF80E6D}"/>
    <hyperlink ref="V25" r:id="rId81" xr:uid="{670B7EFC-818D-4702-A1C6-A61A71FFB352}"/>
    <hyperlink ref="X25" r:id="rId82" xr:uid="{5D114BEF-2EC0-42AC-854A-9C6E2686CA62}"/>
    <hyperlink ref="U26" r:id="rId83" xr:uid="{8104CE66-06DD-423B-9BA5-46348F12F613}"/>
    <hyperlink ref="V26" r:id="rId84" xr:uid="{6B1F7169-FED2-4681-923F-E14F89865C9E}"/>
    <hyperlink ref="W26" r:id="rId85" xr:uid="{0369BB86-E134-492C-BE04-DC95E8B02C48}"/>
    <hyperlink ref="U27" r:id="rId86" xr:uid="{5F3F11CF-B8E4-4D23-939E-EEE75AB96D10}"/>
    <hyperlink ref="V27" r:id="rId87" xr:uid="{FD571A49-4435-4E4C-B320-5FF6579037B5}"/>
    <hyperlink ref="W27" r:id="rId88" xr:uid="{51553996-102A-42C1-8A58-85AA95E00383}"/>
    <hyperlink ref="X27" r:id="rId89" xr:uid="{F28C1D5F-B4B7-4511-AB78-A12E9831AF33}"/>
    <hyperlink ref="U28" r:id="rId90" xr:uid="{D952BEF3-8FDC-4E22-98D4-90FE7D409544}"/>
    <hyperlink ref="V28" r:id="rId91" xr:uid="{1D8C70EF-603A-4DA8-96DA-DE882DC4C4CA}"/>
    <hyperlink ref="W28" r:id="rId92" xr:uid="{BFF6C83C-A60B-4138-A499-32066EE82ADE}"/>
    <hyperlink ref="X28" r:id="rId93" xr:uid="{A71F2ADA-4948-4FE5-B3D3-923161020D5C}"/>
    <hyperlink ref="U29" r:id="rId94" xr:uid="{384B3510-D834-43C9-AE12-17B7EF40D4A3}"/>
    <hyperlink ref="V29" r:id="rId95" xr:uid="{EA3030EC-7BB4-4F76-831C-4D3D54090B1A}"/>
    <hyperlink ref="W29" r:id="rId96" xr:uid="{3FB9533E-E1E0-4256-8FAE-C473EC794E66}"/>
    <hyperlink ref="X29" r:id="rId97" xr:uid="{1E05D3E1-B905-44E0-92BC-DC2A00CD55F8}"/>
    <hyperlink ref="U30" r:id="rId98" xr:uid="{EAB44384-75DF-47AD-BEC7-FECBBC4B0393}"/>
    <hyperlink ref="V30" r:id="rId99" xr:uid="{F1994D3F-622E-46D3-B7FF-16BF3AE809EA}"/>
    <hyperlink ref="W30" r:id="rId100" xr:uid="{4452FE24-8276-4CA1-AD47-16B2CD6958BB}"/>
    <hyperlink ref="X30" r:id="rId101" xr:uid="{F63C7613-07C7-44C6-88DF-A69C9BE1EB49}"/>
    <hyperlink ref="U31" r:id="rId102" xr:uid="{14CDA284-6E6D-4716-A799-1DEA36E07880}"/>
    <hyperlink ref="V31" r:id="rId103" xr:uid="{2D9F8725-D2B7-43AE-A0E4-3BA1C09F17EB}"/>
    <hyperlink ref="W31" r:id="rId104" xr:uid="{90D413F6-80DD-4081-92EF-8657ED37B063}"/>
    <hyperlink ref="X31" r:id="rId105" xr:uid="{9C0E4E4A-1781-4716-AE54-19CFAB7BA70D}"/>
    <hyperlink ref="U32" r:id="rId106" xr:uid="{ABD53ACE-D206-413F-B1E3-D701576C3AD1}"/>
    <hyperlink ref="V32" r:id="rId107" xr:uid="{DB2741B8-5384-4979-8878-22030CBAE765}"/>
    <hyperlink ref="W32" r:id="rId108" xr:uid="{A5D4A384-C26C-45EF-9E76-53C7BEFB9CDA}"/>
    <hyperlink ref="X32" r:id="rId109" xr:uid="{8875BE84-4A45-4511-9B7D-7E823CD294BF}"/>
    <hyperlink ref="U33" r:id="rId110" xr:uid="{2DCA0B60-F06D-4EFE-A61B-2BFF0C1D383F}"/>
    <hyperlink ref="V33" r:id="rId111" xr:uid="{BAA22668-0B1D-4852-8C63-12619BF4E2E4}"/>
    <hyperlink ref="W33" r:id="rId112" xr:uid="{8005E6C4-A51E-4C29-927B-0C58789354B4}"/>
    <hyperlink ref="X33" r:id="rId113" xr:uid="{A3C558A3-6240-4F35-A9C4-E1FF4C08254F}"/>
    <hyperlink ref="U34" r:id="rId114" xr:uid="{D584D751-2C6C-481E-B76A-98AA68DC7169}"/>
    <hyperlink ref="V34" r:id="rId115" xr:uid="{EB8383D1-DC4F-4960-B00C-D0CAA9575E35}"/>
    <hyperlink ref="W34" r:id="rId116" xr:uid="{D8CD5DD1-86A8-4BC3-B10C-7BD46BF86885}"/>
    <hyperlink ref="X34" r:id="rId117" xr:uid="{9D65C362-47C3-4AB5-B8E5-B6F3B540593F}"/>
    <hyperlink ref="U35" r:id="rId118" xr:uid="{5FD299A3-D8C2-4A66-B48E-BED837840472}"/>
    <hyperlink ref="V35" r:id="rId119" xr:uid="{97333630-2AA1-477F-A8AC-3EDEDBB20AC7}"/>
    <hyperlink ref="W35" r:id="rId120" xr:uid="{BDDAAEC6-AC94-4758-A047-5EFE7AF410D1}"/>
    <hyperlink ref="X35" r:id="rId121" xr:uid="{86539285-BD10-4AC3-BDBD-EBBC27B5C12C}"/>
    <hyperlink ref="U36" r:id="rId122" xr:uid="{E449785D-6C16-48D9-9921-2EDFC4EFD87A}"/>
    <hyperlink ref="V36" r:id="rId123" xr:uid="{06BF76DF-F9B9-426D-9E13-CECE7E8553FF}"/>
    <hyperlink ref="X36" r:id="rId124" xr:uid="{F0FC1FF2-77D2-46C1-A67D-D7C136F87B28}"/>
    <hyperlink ref="U37" r:id="rId125" xr:uid="{AAF804D0-93E0-4CBA-BC74-F18383752407}"/>
    <hyperlink ref="V37" r:id="rId126" xr:uid="{3F598118-19C9-4AD6-B2C8-A1C5B8DBF195}"/>
    <hyperlink ref="X37" r:id="rId127" xr:uid="{D2366979-9EEB-4AFD-8EF8-8DD567B9D893}"/>
    <hyperlink ref="U38" r:id="rId128" xr:uid="{99538AA3-F34F-4BD7-9C0E-A586B8FEE158}"/>
    <hyperlink ref="V38" r:id="rId129" xr:uid="{D78342CC-33C3-4093-8CD0-E112960CC07D}"/>
    <hyperlink ref="X38" r:id="rId130" xr:uid="{C43E8E65-1CFD-4E9C-945B-0454F6C7899A}"/>
    <hyperlink ref="U39" r:id="rId131" xr:uid="{A124DECD-A9D0-4A42-9F6B-957F3C36220A}"/>
    <hyperlink ref="V39" r:id="rId132" xr:uid="{AD7DDECF-473A-4EDE-AEDD-90C882B518DF}"/>
    <hyperlink ref="W39" r:id="rId133" xr:uid="{786A8733-9A93-4F2E-B727-C4E26BD1867F}"/>
    <hyperlink ref="X39" r:id="rId134" xr:uid="{63D2788B-5743-4FD6-B8F0-89E5B8D938A2}"/>
    <hyperlink ref="U40" r:id="rId135" xr:uid="{2D81C8B8-6F26-4413-8DDE-631883D9C7D1}"/>
    <hyperlink ref="V40" r:id="rId136" xr:uid="{F3221CAE-FD53-4989-B512-13F4F3463729}"/>
    <hyperlink ref="W40" r:id="rId137" xr:uid="{B82926E4-591D-433D-8403-CA8781B4F5E1}"/>
    <hyperlink ref="X40" r:id="rId138" xr:uid="{94287FF9-0624-40E6-AB64-D80142504892}"/>
    <hyperlink ref="U41" r:id="rId139" xr:uid="{2778DA68-C1B9-4242-9724-2F4E3206B05F}"/>
    <hyperlink ref="V41" r:id="rId140" xr:uid="{9971F478-0F4A-46FD-B444-D3E419C61BE5}"/>
    <hyperlink ref="W41" r:id="rId141" xr:uid="{737A2010-982C-4AD7-A08F-2EAA29C442D8}"/>
    <hyperlink ref="X41" r:id="rId142" xr:uid="{C63BCAB8-532C-4421-8958-24EE7B99E612}"/>
    <hyperlink ref="U42" r:id="rId143" xr:uid="{8806A5F9-DFB3-47D6-AAED-DDE89B114C70}"/>
    <hyperlink ref="V42" r:id="rId144" xr:uid="{7F22805F-713C-42EA-978A-A3A31906F946}"/>
    <hyperlink ref="W42" r:id="rId145" xr:uid="{42CD0C74-CC77-4E85-BC3B-DFAD372BFDBC}"/>
    <hyperlink ref="X42" r:id="rId146" xr:uid="{ADAC97E1-4CE1-46C9-8821-8CC74B308FC7}"/>
    <hyperlink ref="U43" r:id="rId147" xr:uid="{C2709819-0798-4AEF-9515-D985890BC33E}"/>
    <hyperlink ref="V43" r:id="rId148" xr:uid="{D4EE8B7F-2905-4E26-9364-02A2FD978A34}"/>
    <hyperlink ref="W43" r:id="rId149" xr:uid="{E12D2B30-9B5C-4B29-92A4-0F7961E26060}"/>
    <hyperlink ref="X43" r:id="rId150" xr:uid="{1DA5A7CD-209A-4AFF-971B-00EBB4A3D0DE}"/>
    <hyperlink ref="U44" r:id="rId151" xr:uid="{DF3EAD04-C798-4C1B-8BD4-D4528FED033E}"/>
    <hyperlink ref="V44" r:id="rId152" xr:uid="{9A7E10AB-3234-4A42-8D90-4C999C804192}"/>
    <hyperlink ref="W44" r:id="rId153" xr:uid="{E01D8228-6322-4E7E-B53A-9BA0C915560C}"/>
    <hyperlink ref="X44" r:id="rId154" xr:uid="{DE58A923-123B-4849-A5C5-D08FF1655911}"/>
    <hyperlink ref="U45" r:id="rId155" xr:uid="{B671CB43-D027-4D96-9983-9FACFB879450}"/>
    <hyperlink ref="V45" r:id="rId156" xr:uid="{AEA6D413-F728-422F-B12C-60D6F24FA33F}"/>
    <hyperlink ref="W45" r:id="rId157" xr:uid="{07707909-A140-4063-B094-EA9BB1A7A31A}"/>
    <hyperlink ref="X45" r:id="rId158" xr:uid="{37C8E2AD-FED0-4E02-9C87-709D608289BD}"/>
    <hyperlink ref="U46" r:id="rId159" xr:uid="{13CEA6F0-F52F-40F9-9DD7-13074D704F62}"/>
    <hyperlink ref="V46" r:id="rId160" xr:uid="{4734A898-132D-40CF-9F8E-7551A014D2BF}"/>
    <hyperlink ref="W46" r:id="rId161" xr:uid="{442CDB75-9EE3-4E35-B2C3-172C5E4877F0}"/>
    <hyperlink ref="X46" r:id="rId162" xr:uid="{3688F25A-2B00-4D9F-864D-C1E21D296960}"/>
    <hyperlink ref="U47" r:id="rId163" xr:uid="{49639566-E494-4A88-AF8A-4CE6445AE87C}"/>
    <hyperlink ref="V47" r:id="rId164" xr:uid="{D9D3A0C8-52D3-4443-B809-0CAFAACE1BFC}"/>
    <hyperlink ref="W47" r:id="rId165" xr:uid="{222DB88B-143E-44FF-91E4-A83BF1A567B3}"/>
    <hyperlink ref="X47" r:id="rId166" xr:uid="{8DE17295-1836-477C-90F2-F51325293385}"/>
    <hyperlink ref="U48" r:id="rId167" xr:uid="{3730A5EE-8E66-43DB-8344-5716E65E7977}"/>
    <hyperlink ref="V48" r:id="rId168" xr:uid="{4721ECC4-816F-4E29-B1CC-BE5D35AA210D}"/>
    <hyperlink ref="W48" r:id="rId169" xr:uid="{F4F18070-3D05-4C13-9FC0-E1CAEE2C298C}"/>
    <hyperlink ref="X48" r:id="rId170" xr:uid="{9D3DD41D-E6B7-4A66-90F5-DA101EE0639F}"/>
    <hyperlink ref="U49" r:id="rId171" xr:uid="{37DF9766-35C2-4931-9050-52225F820DC3}"/>
    <hyperlink ref="V49" r:id="rId172" xr:uid="{C572019C-3F0D-4B1D-B5DB-DA26B0905CEC}"/>
    <hyperlink ref="W49" r:id="rId173" xr:uid="{467FE25C-EAA6-47BF-A1D1-C1B722436838}"/>
    <hyperlink ref="X49" r:id="rId174" xr:uid="{C1E989C2-EF0A-404E-B4BA-58E845190560}"/>
  </hyperlinks>
  <pageMargins left="0.7" right="0.7" top="0.75" bottom="0.75" header="0.3" footer="0.3"/>
  <tableParts count="1">
    <tablePart r:id="rId17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E39"/>
  <sheetViews>
    <sheetView topLeftCell="A13" workbookViewId="0">
      <selection activeCell="E40" sqref="E40"/>
    </sheetView>
  </sheetViews>
  <sheetFormatPr baseColWidth="10" defaultRowHeight="13.2" x14ac:dyDescent="0.25"/>
  <cols>
    <col min="2" max="2" width="39" bestFit="1" customWidth="1"/>
    <col min="3" max="3" width="34" style="7" bestFit="1" customWidth="1"/>
    <col min="4" max="4" width="32.5546875" style="7" bestFit="1" customWidth="1"/>
    <col min="5" max="5" width="67.44140625" bestFit="1" customWidth="1"/>
  </cols>
  <sheetData>
    <row r="1" spans="2:5" x14ac:dyDescent="0.25">
      <c r="B1" s="9" t="s">
        <v>3</v>
      </c>
      <c r="C1" s="9" t="s">
        <v>48</v>
      </c>
      <c r="D1" s="9" t="s">
        <v>49</v>
      </c>
      <c r="E1" s="9" t="s">
        <v>50</v>
      </c>
    </row>
    <row r="2" spans="2:5" x14ac:dyDescent="0.25">
      <c r="B2" s="6" t="s">
        <v>101</v>
      </c>
      <c r="C2" s="7" t="s">
        <v>23</v>
      </c>
      <c r="D2" s="7" t="s">
        <v>23</v>
      </c>
      <c r="E2" t="s">
        <v>237</v>
      </c>
    </row>
    <row r="3" spans="2:5" x14ac:dyDescent="0.25">
      <c r="B3" s="8" t="s">
        <v>109</v>
      </c>
      <c r="C3" s="7" t="s">
        <v>237</v>
      </c>
      <c r="D3" s="7" t="s">
        <v>237</v>
      </c>
      <c r="E3" t="s">
        <v>237</v>
      </c>
    </row>
    <row r="4" spans="2:5" x14ac:dyDescent="0.25">
      <c r="B4" s="6" t="s">
        <v>127</v>
      </c>
      <c r="C4" s="7" t="s">
        <v>23</v>
      </c>
      <c r="D4" s="7" t="s">
        <v>23</v>
      </c>
      <c r="E4" t="s">
        <v>237</v>
      </c>
    </row>
    <row r="5" spans="2:5" x14ac:dyDescent="0.25">
      <c r="B5" s="8" t="s">
        <v>143</v>
      </c>
      <c r="C5" s="7" t="s">
        <v>237</v>
      </c>
      <c r="D5" s="7" t="s">
        <v>237</v>
      </c>
      <c r="E5" t="s">
        <v>237</v>
      </c>
    </row>
    <row r="6" spans="2:5" x14ac:dyDescent="0.25">
      <c r="B6" s="6" t="s">
        <v>143</v>
      </c>
      <c r="C6" s="7" t="s">
        <v>237</v>
      </c>
      <c r="D6" s="7" t="s">
        <v>237</v>
      </c>
      <c r="E6" t="s">
        <v>237</v>
      </c>
    </row>
    <row r="7" spans="2:5" x14ac:dyDescent="0.25">
      <c r="B7" s="8" t="s">
        <v>157</v>
      </c>
      <c r="C7" s="7" t="s">
        <v>237</v>
      </c>
      <c r="D7" s="7" t="s">
        <v>237</v>
      </c>
      <c r="E7" t="s">
        <v>237</v>
      </c>
    </row>
    <row r="8" spans="2:5" x14ac:dyDescent="0.25">
      <c r="B8" s="6" t="s">
        <v>165</v>
      </c>
      <c r="C8" s="7" t="s">
        <v>237</v>
      </c>
      <c r="D8" s="7" t="s">
        <v>237</v>
      </c>
      <c r="E8" t="s">
        <v>237</v>
      </c>
    </row>
    <row r="9" spans="2:5" x14ac:dyDescent="0.25">
      <c r="B9" s="6" t="s">
        <v>143</v>
      </c>
      <c r="C9" s="7" t="s">
        <v>237</v>
      </c>
      <c r="D9" s="7" t="s">
        <v>237</v>
      </c>
      <c r="E9" t="s">
        <v>237</v>
      </c>
    </row>
    <row r="10" spans="2:5" x14ac:dyDescent="0.25">
      <c r="B10" s="6" t="s">
        <v>101</v>
      </c>
      <c r="C10" s="7" t="s">
        <v>23</v>
      </c>
      <c r="D10" s="7" t="s">
        <v>23</v>
      </c>
      <c r="E10" t="s">
        <v>237</v>
      </c>
    </row>
    <row r="11" spans="2:5" x14ac:dyDescent="0.25">
      <c r="B11" s="6" t="s">
        <v>221</v>
      </c>
      <c r="C11" s="7" t="s">
        <v>237</v>
      </c>
      <c r="D11" s="7" t="s">
        <v>237</v>
      </c>
      <c r="E11" t="s">
        <v>237</v>
      </c>
    </row>
    <row r="12" spans="2:5" x14ac:dyDescent="0.25">
      <c r="B12" s="6" t="s">
        <v>101</v>
      </c>
      <c r="C12" s="7" t="s">
        <v>237</v>
      </c>
      <c r="D12" s="7" t="s">
        <v>237</v>
      </c>
      <c r="E12" t="s">
        <v>237</v>
      </c>
    </row>
    <row r="13" spans="2:5" x14ac:dyDescent="0.25">
      <c r="B13" s="6" t="s">
        <v>340</v>
      </c>
      <c r="C13" s="7" t="s">
        <v>237</v>
      </c>
      <c r="D13" s="7" t="s">
        <v>237</v>
      </c>
      <c r="E13" t="s">
        <v>237</v>
      </c>
    </row>
    <row r="14" spans="2:5" x14ac:dyDescent="0.25">
      <c r="B14" s="8" t="s">
        <v>348</v>
      </c>
      <c r="C14" s="7" t="s">
        <v>237</v>
      </c>
      <c r="D14" s="7" t="s">
        <v>237</v>
      </c>
      <c r="E14" t="s">
        <v>237</v>
      </c>
    </row>
    <row r="15" spans="2:5" x14ac:dyDescent="0.25">
      <c r="B15" s="6" t="s">
        <v>157</v>
      </c>
      <c r="C15" s="7" t="s">
        <v>237</v>
      </c>
      <c r="D15" s="7" t="s">
        <v>237</v>
      </c>
      <c r="E15" t="s">
        <v>237</v>
      </c>
    </row>
    <row r="16" spans="2:5" x14ac:dyDescent="0.25">
      <c r="B16" s="8" t="s">
        <v>364</v>
      </c>
      <c r="C16" s="7" t="s">
        <v>237</v>
      </c>
      <c r="D16" s="7" t="s">
        <v>237</v>
      </c>
      <c r="E16" t="s">
        <v>237</v>
      </c>
    </row>
    <row r="17" spans="2:5" x14ac:dyDescent="0.25">
      <c r="B17" s="6" t="s">
        <v>143</v>
      </c>
      <c r="C17" s="7" t="s">
        <v>237</v>
      </c>
      <c r="D17" s="7" t="s">
        <v>237</v>
      </c>
      <c r="E17" t="s">
        <v>237</v>
      </c>
    </row>
    <row r="18" spans="2:5" x14ac:dyDescent="0.25">
      <c r="B18" s="6" t="s">
        <v>16</v>
      </c>
      <c r="C18" s="7" t="s">
        <v>23</v>
      </c>
      <c r="D18" s="7" t="s">
        <v>23</v>
      </c>
      <c r="E18" t="s">
        <v>237</v>
      </c>
    </row>
    <row r="19" spans="2:5" x14ac:dyDescent="0.25">
      <c r="B19" s="8" t="s">
        <v>33</v>
      </c>
      <c r="C19" s="7" t="s">
        <v>23</v>
      </c>
      <c r="D19" s="7" t="s">
        <v>23</v>
      </c>
      <c r="E19" t="s">
        <v>117</v>
      </c>
    </row>
    <row r="20" spans="2:5" x14ac:dyDescent="0.25">
      <c r="B20" s="6" t="s">
        <v>33</v>
      </c>
      <c r="C20" s="7" t="s">
        <v>23</v>
      </c>
      <c r="D20" s="7" t="s">
        <v>23</v>
      </c>
      <c r="E20" t="s">
        <v>117</v>
      </c>
    </row>
    <row r="21" spans="2:5" x14ac:dyDescent="0.25">
      <c r="B21" s="8" t="s">
        <v>52</v>
      </c>
      <c r="C21" s="7" t="s">
        <v>23</v>
      </c>
      <c r="D21" s="7" t="s">
        <v>237</v>
      </c>
      <c r="E21" t="s">
        <v>237</v>
      </c>
    </row>
    <row r="22" spans="2:5" x14ac:dyDescent="0.25">
      <c r="B22" s="6" t="s">
        <v>63</v>
      </c>
      <c r="C22" s="7" t="s">
        <v>23</v>
      </c>
      <c r="D22" s="7" t="s">
        <v>23</v>
      </c>
      <c r="E22" t="s">
        <v>237</v>
      </c>
    </row>
    <row r="23" spans="2:5" x14ac:dyDescent="0.25">
      <c r="B23" s="8" t="s">
        <v>75</v>
      </c>
      <c r="C23" s="7" t="s">
        <v>23</v>
      </c>
      <c r="D23" s="7" t="s">
        <v>237</v>
      </c>
      <c r="E23" t="s">
        <v>237</v>
      </c>
    </row>
    <row r="24" spans="2:5" x14ac:dyDescent="0.25">
      <c r="B24" s="6" t="s">
        <v>84</v>
      </c>
      <c r="C24" s="7" t="s">
        <v>23</v>
      </c>
      <c r="D24" s="7" t="s">
        <v>23</v>
      </c>
      <c r="E24" t="s">
        <v>237</v>
      </c>
    </row>
    <row r="25" spans="2:5" x14ac:dyDescent="0.25">
      <c r="B25" s="8" t="s">
        <v>52</v>
      </c>
      <c r="C25" s="7" t="s">
        <v>23</v>
      </c>
      <c r="D25" s="7" t="s">
        <v>237</v>
      </c>
      <c r="E25" t="s">
        <v>237</v>
      </c>
    </row>
    <row r="26" spans="2:5" x14ac:dyDescent="0.25">
      <c r="B26" s="8" t="s">
        <v>174</v>
      </c>
      <c r="C26" s="7" t="s">
        <v>23</v>
      </c>
      <c r="D26" s="7" t="s">
        <v>23</v>
      </c>
      <c r="E26" t="s">
        <v>237</v>
      </c>
    </row>
    <row r="27" spans="2:5" x14ac:dyDescent="0.25">
      <c r="B27" s="8" t="s">
        <v>63</v>
      </c>
      <c r="C27" s="7" t="s">
        <v>23</v>
      </c>
      <c r="D27" s="7" t="s">
        <v>237</v>
      </c>
      <c r="E27" t="s">
        <v>237</v>
      </c>
    </row>
    <row r="28" spans="2:5" x14ac:dyDescent="0.25">
      <c r="B28" s="8" t="s">
        <v>84</v>
      </c>
      <c r="C28" s="7" t="s">
        <v>23</v>
      </c>
      <c r="D28" s="7" t="s">
        <v>237</v>
      </c>
      <c r="E28" t="s">
        <v>237</v>
      </c>
    </row>
    <row r="29" spans="2:5" x14ac:dyDescent="0.25">
      <c r="B29" s="6" t="s">
        <v>63</v>
      </c>
      <c r="C29" s="7" t="s">
        <v>23</v>
      </c>
      <c r="D29" s="7" t="s">
        <v>237</v>
      </c>
      <c r="E29" t="s">
        <v>237</v>
      </c>
    </row>
    <row r="30" spans="2:5" x14ac:dyDescent="0.25">
      <c r="B30" s="8" t="s">
        <v>221</v>
      </c>
      <c r="C30" s="7" t="s">
        <v>23</v>
      </c>
      <c r="D30" s="7" t="s">
        <v>23</v>
      </c>
      <c r="E30" t="s">
        <v>237</v>
      </c>
    </row>
    <row r="31" spans="2:5" x14ac:dyDescent="0.25">
      <c r="B31" s="8" t="s">
        <v>75</v>
      </c>
      <c r="C31" s="7" t="s">
        <v>23</v>
      </c>
      <c r="D31" s="7" t="s">
        <v>237</v>
      </c>
      <c r="E31" t="s">
        <v>237</v>
      </c>
    </row>
    <row r="32" spans="2:5" x14ac:dyDescent="0.25">
      <c r="B32" s="6" t="s">
        <v>221</v>
      </c>
      <c r="C32" s="7" t="s">
        <v>23</v>
      </c>
      <c r="D32" s="7" t="s">
        <v>23</v>
      </c>
      <c r="E32" t="s">
        <v>237</v>
      </c>
    </row>
    <row r="33" spans="2:5" x14ac:dyDescent="0.25">
      <c r="B33" s="8" t="s">
        <v>253</v>
      </c>
      <c r="C33" s="7" t="s">
        <v>23</v>
      </c>
      <c r="D33" s="7" t="s">
        <v>23</v>
      </c>
      <c r="E33" t="s">
        <v>237</v>
      </c>
    </row>
    <row r="34" spans="2:5" x14ac:dyDescent="0.25">
      <c r="B34" s="6" t="s">
        <v>84</v>
      </c>
      <c r="C34" s="7" t="s">
        <v>23</v>
      </c>
      <c r="D34" s="7" t="s">
        <v>23</v>
      </c>
      <c r="E34" t="s">
        <v>237</v>
      </c>
    </row>
    <row r="35" spans="2:5" x14ac:dyDescent="0.25">
      <c r="B35" s="8" t="s">
        <v>221</v>
      </c>
      <c r="C35" s="7" t="s">
        <v>23</v>
      </c>
      <c r="D35" s="7" t="s">
        <v>23</v>
      </c>
      <c r="E35" t="s">
        <v>237</v>
      </c>
    </row>
    <row r="36" spans="2:5" x14ac:dyDescent="0.25">
      <c r="B36" s="6" t="s">
        <v>277</v>
      </c>
      <c r="C36" s="7" t="s">
        <v>23</v>
      </c>
      <c r="D36" s="7" t="s">
        <v>237</v>
      </c>
      <c r="E36" t="s">
        <v>237</v>
      </c>
    </row>
    <row r="37" spans="2:5" x14ac:dyDescent="0.25">
      <c r="B37" s="8" t="s">
        <v>253</v>
      </c>
      <c r="C37" s="7" t="s">
        <v>23</v>
      </c>
      <c r="D37" s="7" t="s">
        <v>23</v>
      </c>
      <c r="E37" t="s">
        <v>237</v>
      </c>
    </row>
    <row r="38" spans="2:5" x14ac:dyDescent="0.25">
      <c r="B38" s="6" t="s">
        <v>221</v>
      </c>
      <c r="C38" s="7" t="s">
        <v>23</v>
      </c>
      <c r="D38" s="7" t="s">
        <v>23</v>
      </c>
      <c r="E38" t="s">
        <v>237</v>
      </c>
    </row>
    <row r="39" spans="2:5" x14ac:dyDescent="0.25">
      <c r="B39" s="8" t="s">
        <v>63</v>
      </c>
      <c r="C39" s="7" t="s">
        <v>23</v>
      </c>
      <c r="D39" s="7" t="s">
        <v>237</v>
      </c>
      <c r="E39" t="s">
        <v>237</v>
      </c>
    </row>
  </sheetData>
  <autoFilter ref="B1:D39" xr:uid="{77B86AD5-214A-4E29-8C3C-D28012B13A5F}"/>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2026-09-17T12:10:20Z</dcterms:modified>
</cp:coreProperties>
</file>