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AuditoriasTerreno\data\"/>
    </mc:Choice>
  </mc:AlternateContent>
  <xr:revisionPtr revIDLastSave="0" documentId="13_ncr:1_{BC540340-D94D-4040-9A96-B7ED2E5CF293}" xr6:coauthVersionLast="47" xr6:coauthVersionMax="47" xr10:uidLastSave="{00000000-0000-0000-0000-000000000000}"/>
  <bookViews>
    <workbookView xWindow="-108" yWindow="-108" windowWidth="23256" windowHeight="12456" xr2:uid="{00000000-000D-0000-FFFF-FFFF00000000}"/>
  </bookViews>
  <sheets>
    <sheet name="Respuestas de formulario 1" sheetId="1" r:id="rId1"/>
    <sheet name="masa de trabajo" sheetId="2" r:id="rId2"/>
  </sheets>
  <definedNames>
    <definedName name="_xlnm._FilterDatabase" localSheetId="1" hidden="1">'masa de trabajo'!$B$1:$D$39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1" i="1" l="1"/>
  <c r="AH52" i="1"/>
  <c r="AH53" i="1"/>
  <c r="AH54" i="1"/>
  <c r="AH55" i="1"/>
  <c r="AI51" i="1"/>
  <c r="AI52" i="1"/>
  <c r="AI53" i="1"/>
  <c r="AI54" i="1"/>
  <c r="AI55" i="1"/>
  <c r="AJ51" i="1"/>
  <c r="AJ52" i="1"/>
  <c r="AJ53" i="1"/>
  <c r="AJ54" i="1"/>
  <c r="AJ55" i="1"/>
  <c r="AH50" i="1"/>
  <c r="AI50" i="1"/>
  <c r="AJ50" i="1"/>
  <c r="AH48" i="1"/>
  <c r="AH49" i="1"/>
  <c r="AI48" i="1"/>
  <c r="AI49" i="1"/>
  <c r="AJ48" i="1"/>
  <c r="AJ49" i="1"/>
  <c r="AH47" i="1"/>
  <c r="AI47" i="1"/>
  <c r="AJ47" i="1"/>
  <c r="AH45" i="1"/>
  <c r="AH46" i="1"/>
  <c r="AI45" i="1"/>
  <c r="AI46" i="1"/>
  <c r="AJ45" i="1"/>
  <c r="AJ46" i="1"/>
  <c r="AH44" i="1"/>
  <c r="AI44" i="1"/>
  <c r="AJ44" i="1"/>
  <c r="AH43" i="1"/>
  <c r="AI43" i="1"/>
  <c r="AJ43"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3" i="1"/>
  <c r="AJ4" i="1"/>
  <c r="AJ5" i="1"/>
  <c r="AJ6" i="1"/>
  <c r="AJ7" i="1"/>
  <c r="AJ8" i="1"/>
  <c r="AJ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2"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alcChain>
</file>

<file path=xl/sharedStrings.xml><?xml version="1.0" encoding="utf-8"?>
<sst xmlns="http://schemas.openxmlformats.org/spreadsheetml/2006/main" count="1458" uniqueCount="477">
  <si>
    <t>Marca temporal</t>
  </si>
  <si>
    <t>Puntuación</t>
  </si>
  <si>
    <t xml:space="preserve">N° PETICIÓN </t>
  </si>
  <si>
    <t>Nombre Técnico</t>
  </si>
  <si>
    <t>SUPERVISOR</t>
  </si>
  <si>
    <t>Se ejecuto la actividad</t>
  </si>
  <si>
    <t>Se concreta auditoria?</t>
  </si>
  <si>
    <t>Motivo de la derivación</t>
  </si>
  <si>
    <t>Repetidor Cableado</t>
  </si>
  <si>
    <t>Cantidad Decodificadores</t>
  </si>
  <si>
    <t>Capacitación  al Cliente</t>
  </si>
  <si>
    <t xml:space="preserve">Nota de Estética del cableado </t>
  </si>
  <si>
    <t>Fotografía  Módem</t>
  </si>
  <si>
    <t>Fotografías</t>
  </si>
  <si>
    <t xml:space="preserve">Técnico cumple correctamente con su función?  </t>
  </si>
  <si>
    <t>1-3MZZBB80</t>
  </si>
  <si>
    <t>FERNANDO ALEXIS SANCHEZ ZAMORA</t>
  </si>
  <si>
    <t>JULIO CABRERA</t>
  </si>
  <si>
    <t>Si</t>
  </si>
  <si>
    <t>En Conjunto con Técnico</t>
  </si>
  <si>
    <t>Migracion</t>
  </si>
  <si>
    <t>NO</t>
  </si>
  <si>
    <t>Puerto de palos 38</t>
  </si>
  <si>
    <t>SI</t>
  </si>
  <si>
    <t>Solo internet</t>
  </si>
  <si>
    <t>Michelle Hernandez</t>
  </si>
  <si>
    <t>https://drive.google.com/open?id=1eLiAAX-JitqlZ_Uy1Wtqd-BaYuer__sy</t>
  </si>
  <si>
    <t>https://drive.google.com/open?id=1M5W9rcXFlyTmREE9KJFCGx1z3V3z78jK</t>
  </si>
  <si>
    <t>https://drive.google.com/open?id=1KsGJ-oxout_7n7kZQlBeuIYexSo59vI8</t>
  </si>
  <si>
    <t>https://drive.google.com/open?id=1ugWq8gxEvzZ3Zrq6Vt4RfT-zPz7aB4ol</t>
  </si>
  <si>
    <t>Si Cumple</t>
  </si>
  <si>
    <t>Drop sin soportes , faltó pasamuro.</t>
  </si>
  <si>
    <t>1-3NOSIUO9</t>
  </si>
  <si>
    <t>ALMAZABAL TORO ALEJANDRO ADRIAN</t>
  </si>
  <si>
    <t>Lago Zenteno 1530</t>
  </si>
  <si>
    <t>Isabel Barraza</t>
  </si>
  <si>
    <t>https://drive.google.com/open?id=12iqDQ8PRPzKO0ZtxepVFD_lo9Oak1i0A</t>
  </si>
  <si>
    <t>https://drive.google.com/open?id=1kU25jEZiCTDYyeWXk7c2rwKjJW51ip9r</t>
  </si>
  <si>
    <t>https://drive.google.com/open?id=1JiROAHGcZpKBb8AYqsKEkaQIUwITYdd-</t>
  </si>
  <si>
    <t>Instalación interior edificio no lleva pasamuro.</t>
  </si>
  <si>
    <t>1-3N1EXH6Z</t>
  </si>
  <si>
    <t>Instalacion</t>
  </si>
  <si>
    <t>Variante Agua Santa 1400</t>
  </si>
  <si>
    <t>Doris Perez</t>
  </si>
  <si>
    <t>https://drive.google.com/open?id=1fjU3RvPo3EX5BcpGMOPN3bz-u6iU2Q4I</t>
  </si>
  <si>
    <t>https://drive.google.com/open?id=17lXQX1mTuaoqy9ifOYdLztSv-UjgbzJ7</t>
  </si>
  <si>
    <t>https://drive.google.com/open?id=1ecPUCwGEQYjplmfEYtFc221G1_0qA_T9</t>
  </si>
  <si>
    <t>Instalación por ductos , no lleva pasamuros.</t>
  </si>
  <si>
    <t>Se llevó a cabo la mesa de trabajo.</t>
  </si>
  <si>
    <t>Se cerró el proceso con el técnico?</t>
  </si>
  <si>
    <t xml:space="preserve">Observaciones </t>
  </si>
  <si>
    <t>1-3N1OD3VC</t>
  </si>
  <si>
    <t>LUIS ROBERTO QUIROGA SEGUEL</t>
  </si>
  <si>
    <t>DANILO OJEDA</t>
  </si>
  <si>
    <t>Modificacion</t>
  </si>
  <si>
    <t xml:space="preserve">Pasaje diesiseis 4576, Quinta Normal </t>
  </si>
  <si>
    <t xml:space="preserve">Alvara Ceron </t>
  </si>
  <si>
    <t>https://drive.google.com/open?id=1xRoqVLV7TnRBkCtOSTEgYjJzWnnxmSh9</t>
  </si>
  <si>
    <t>https://drive.google.com/open?id=1HftL8nuwMbjUi_N_uPN54iieHc1SNhZ7</t>
  </si>
  <si>
    <t>https://drive.google.com/open?id=19_stumq0aaIfxRLjsrQcctleoeYxzyCD</t>
  </si>
  <si>
    <t>https://drive.google.com/open?id=1IfDHf1Ap0Yyo32pZFKUGiyCTMwkquF8X</t>
  </si>
  <si>
    <t xml:space="preserve">No instala soporte drop, la capacitación sobre el uso del control, cliente manifestó que su hija lo vería después, ella no quedo clara, roseta instalada sobre 30 centímetros a petición de cliente. </t>
  </si>
  <si>
    <t>1-3N3QTY2X</t>
  </si>
  <si>
    <t>BENJAMIN ALEJANDRO PEREZ POVEDA</t>
  </si>
  <si>
    <t>ROLANDO MOTOYA</t>
  </si>
  <si>
    <t>Reparacion</t>
  </si>
  <si>
    <t>MEXICO 1163</t>
  </si>
  <si>
    <t xml:space="preserve">DANES AMADOR SABA MIOSOTI </t>
  </si>
  <si>
    <t>https://drive.google.com/open?id=1Ct3HMcGgtkRN1ays-ZSxeiG2cr3txlbM</t>
  </si>
  <si>
    <t>https://drive.google.com/open?id=1cAg185xHKS5Jvh4Ti7ijYMyyD7sf934v</t>
  </si>
  <si>
    <t>https://drive.google.com/open?id=1FMSZOl4jm7NCv0YV2I76OTv48kR4YjC0</t>
  </si>
  <si>
    <t>https://drive.google.com/open?id=1n6c6KG1MLLnZmc2xervPDiZcGEiOiCyi</t>
  </si>
  <si>
    <t>No Cumple</t>
  </si>
  <si>
    <t>Tecnico no utiliza one click segun procedimiento
Cliente en reparacion representa problemas de inestabilidad en navegación ,desconexiones y lentitud en descargas
Se verifica cobertura con app wifi analizar encontrando problemas de cobertura( -63dbm) ,se solicita repetidor wifi como mejoramiento de servicio en petición 1-3N4VBVMB quedando con -44 dbm -50 dbm y -38 dbm..veloc.en app marca 544 Mbps en domicilio ..se prueba conexiones con cliente quedando conforme .
Nota se debió solicitar repetidor desde la.peticion de instalacion por técnico instalador de otras eps</t>
  </si>
  <si>
    <t>1-3N1EXTB4</t>
  </si>
  <si>
    <t>JORGE LUIS REYES TOLOZA</t>
  </si>
  <si>
    <t xml:space="preserve">Alsino 4691 torre B dpto 54, Quinta Normal </t>
  </si>
  <si>
    <t>No</t>
  </si>
  <si>
    <t>MINERVA DEL CARMEN LLANOS SANHUEZA</t>
  </si>
  <si>
    <t>https://drive.google.com/open?id=1YKKAkGD4EQW-dPfPbHSEbpsBuE7HuDQ2</t>
  </si>
  <si>
    <t>https://drive.google.com/open?id=1PhtfDwK7_KSjjmrTzZRu8eaRaS76mByG</t>
  </si>
  <si>
    <t>https://drive.google.com/open?id=1qvV5AHtlp5_I4SZ6Ec-EBbt55zMespJ8</t>
  </si>
  <si>
    <t>No limpia fibra con alcohol isopropilico, no capacita a cliente</t>
  </si>
  <si>
    <t>1-3N4ZJYPV</t>
  </si>
  <si>
    <t>EUDIS JESUS ALDAMA MARIN</t>
  </si>
  <si>
    <t xml:space="preserve">Freirina 2024, Independencia </t>
  </si>
  <si>
    <t>Guillermina Retamal Barrera</t>
  </si>
  <si>
    <t>https://drive.google.com/open?id=1WwnXsHKOqdcxhVKy7K78PfZqcdpIXWPD</t>
  </si>
  <si>
    <t>https://drive.google.com/open?id=1a49an2Uxx5--xhVG5AJh9DzmiTTr-8zE</t>
  </si>
  <si>
    <t>https://drive.google.com/open?id=1cFFm7QlOqMpnPhvBRjg5rcmtQTiDSSzl</t>
  </si>
  <si>
    <t>https://drive.google.com/open?id=1hUQTu7-Yh2d6RG0qCUag9TKWRnYl2eLN</t>
  </si>
  <si>
    <t>No instala pasa muros, cliente posee adaptador de red para decodificador por cobertura</t>
  </si>
  <si>
    <t>1-3N38LO21</t>
  </si>
  <si>
    <t xml:space="preserve">Neuquen 1658, Quinta Normal </t>
  </si>
  <si>
    <t>Jonhy Arevalo</t>
  </si>
  <si>
    <t>https://drive.google.com/open?id=1nF8b6PoUw5jmaMs3GmfPKH9f_sIPQnnU</t>
  </si>
  <si>
    <t>https://drive.google.com/open?id=1bm95wbg0W4QfOhTQ-l3iSNpuXZbayYdA</t>
  </si>
  <si>
    <t>https://drive.google.com/open?id=13gcBcAKvwZidaHyvwSsOryf5yBWRFTBU</t>
  </si>
  <si>
    <t>https://drive.google.com/open?id=1_qsmYESpm1TZYZBTcSA0bVI1OVnaOqPZ</t>
  </si>
  <si>
    <t>No limpia fibra con alcohol isopropilico fibra</t>
  </si>
  <si>
    <t>1-3N5HPGPG</t>
  </si>
  <si>
    <t>LUIS ROBERTO BAIGORRIA CORDOVA</t>
  </si>
  <si>
    <t>Jackson 785 torre Y depto. 201</t>
  </si>
  <si>
    <t>Andrés Díaz y Sra.</t>
  </si>
  <si>
    <t>https://drive.google.com/open?id=1CSmuYQmqrvrMUUa4nf16cG0GkGD3SynA</t>
  </si>
  <si>
    <t>https://drive.google.com/open?id=1C7xbpqRZdhbFYfcF4iO3wNkPMuE8MDbR</t>
  </si>
  <si>
    <t>https://drive.google.com/open?id=1I5m3DHoB2XXOa5jOrNIsndX1rQFjkuR3</t>
  </si>
  <si>
    <t>Roseta con clavo , pilar del edificio concreto.</t>
  </si>
  <si>
    <t>1-3N6QA80X</t>
  </si>
  <si>
    <t>MARCO ALEXANDER BENITEZ FERNANDEZ</t>
  </si>
  <si>
    <t>Rodolfo Mondolfo 6865, Quinta Normal</t>
  </si>
  <si>
    <t>LEONARDO ENRIQUE ROLACK REBOLLEDO</t>
  </si>
  <si>
    <t>https://drive.google.com/open?id=1OP1hPRSdOrAR3cXLiyxw1o2ogy31xmuT</t>
  </si>
  <si>
    <t>https://drive.google.com/open?id=1OujuqSLPbgqHCXkRhnw6h9V5HL8K4Mfe</t>
  </si>
  <si>
    <t>https://drive.google.com/open?id=1WN_3WV6vkXedBc7VCDP6LUrRSoYcekyB</t>
  </si>
  <si>
    <t>https://drive.google.com/open?id=1HSK3BJ7Qx0WE7hATyxPl7JT9fsOOK1DZ</t>
  </si>
  <si>
    <t xml:space="preserve">Roseta instalada fuera de norma a petición de cliente, técnico cumple protocolo según informado hoy a todo el plantel en reunión. Queda pendiente auditoria post instalación </t>
  </si>
  <si>
    <t>Auque se nota una mejora, se realizara evantualemete seguimiento a los trabajos</t>
  </si>
  <si>
    <t>Auditoria</t>
  </si>
  <si>
    <t>Actividad</t>
  </si>
  <si>
    <t>Instala drop con soportes</t>
  </si>
  <si>
    <t xml:space="preserve">Utiliza OneClick para realizar limpieza a conectores </t>
  </si>
  <si>
    <t xml:space="preserve">Drop se encuentra encuentra dentro de norma de instalaciones </t>
  </si>
  <si>
    <t xml:space="preserve">Reutiliza Instalación </t>
  </si>
  <si>
    <t xml:space="preserve">Utiliza Alcohol isopropilico </t>
  </si>
  <si>
    <t xml:space="preserve">Reutiliza Instalación de otra compañía </t>
  </si>
  <si>
    <t>1-3N5LOYRR</t>
  </si>
  <si>
    <t>BRAULIO DANILO DIAZ CORNEJO</t>
  </si>
  <si>
    <t>Post Instalacion</t>
  </si>
  <si>
    <t>San Francisco 32 efif.H</t>
  </si>
  <si>
    <t>Graciela Toro</t>
  </si>
  <si>
    <t>Instalación acorde a los procedimientos.</t>
  </si>
  <si>
    <r>
      <rPr>
        <b/>
        <sz val="10"/>
        <color theme="1"/>
        <rFont val="Arial"/>
      </rPr>
      <t xml:space="preserve">DIRECCIÓN </t>
    </r>
    <r>
      <rPr>
        <i/>
        <sz val="10"/>
        <color theme="1"/>
        <rFont val="Arial"/>
      </rPr>
      <t>(Calle - Numero)</t>
    </r>
    <r>
      <rPr>
        <sz val="10"/>
        <color theme="1"/>
        <rFont val="Arial"/>
      </rPr>
      <t xml:space="preserve"> </t>
    </r>
  </si>
  <si>
    <r>
      <rPr>
        <b/>
        <sz val="10"/>
        <color theme="1"/>
        <rFont val="Arial"/>
      </rPr>
      <t>Instala Pasa-muros</t>
    </r>
    <r>
      <rPr>
        <sz val="10"/>
        <color theme="1"/>
        <rFont val="Arial"/>
      </rPr>
      <t xml:space="preserve"> </t>
    </r>
  </si>
  <si>
    <r>
      <rPr>
        <b/>
        <sz val="10"/>
        <color theme="1"/>
        <rFont val="Arial"/>
      </rPr>
      <t>Roseta Óptica en norma y atornillada</t>
    </r>
    <r>
      <rPr>
        <sz val="10"/>
        <color theme="1"/>
        <rFont val="Arial"/>
      </rPr>
      <t xml:space="preserve"> </t>
    </r>
  </si>
  <si>
    <r>
      <rPr>
        <b/>
        <sz val="10"/>
        <color theme="1"/>
        <rFont val="Arial"/>
      </rPr>
      <t>Deja Área de Trabajo Limpio</t>
    </r>
    <r>
      <rPr>
        <sz val="10"/>
        <color theme="1"/>
        <rFont val="Arial"/>
      </rPr>
      <t xml:space="preserve"> </t>
    </r>
  </si>
  <si>
    <r>
      <rPr>
        <b/>
        <sz val="10"/>
        <color theme="1"/>
        <rFont val="Arial"/>
      </rPr>
      <t xml:space="preserve">Quien </t>
    </r>
    <r>
      <rPr>
        <b/>
        <sz val="10"/>
        <color theme="1"/>
        <rFont val="Arial"/>
      </rPr>
      <t>r</t>
    </r>
    <r>
      <rPr>
        <b/>
        <sz val="10"/>
        <color theme="1"/>
        <rFont val="Arial"/>
      </rPr>
      <t>ecibe en domicilio</t>
    </r>
  </si>
  <si>
    <r>
      <rPr>
        <b/>
        <sz val="10"/>
        <color theme="1"/>
        <rFont val="Arial"/>
      </rPr>
      <t>Fotografía Roseta  Óptica Atornillada</t>
    </r>
    <r>
      <rPr>
        <sz val="10"/>
        <color theme="1"/>
        <rFont val="Arial"/>
      </rPr>
      <t xml:space="preserve"> </t>
    </r>
  </si>
  <si>
    <r>
      <rPr>
        <b/>
        <sz val="10"/>
        <color theme="1"/>
        <rFont val="Arial"/>
      </rPr>
      <t>Fotografías Pasa-muros</t>
    </r>
    <r>
      <rPr>
        <sz val="10"/>
        <color theme="1"/>
        <rFont val="Arial"/>
      </rPr>
      <t xml:space="preserve"> </t>
    </r>
  </si>
  <si>
    <r>
      <rPr>
        <b/>
        <sz val="10"/>
        <color theme="1"/>
        <rFont val="Arial"/>
      </rPr>
      <t>Estado Auditoria</t>
    </r>
    <r>
      <rPr>
        <sz val="10"/>
        <color theme="1"/>
        <rFont val="Arial"/>
      </rPr>
      <t xml:space="preserve"> </t>
    </r>
  </si>
  <si>
    <r>
      <rPr>
        <b/>
        <sz val="10"/>
        <color theme="1"/>
        <rFont val="Arial"/>
      </rPr>
      <t>Con que nota se evalúa al técnico</t>
    </r>
    <r>
      <rPr>
        <sz val="10"/>
        <color theme="1"/>
        <rFont val="Arial"/>
      </rPr>
      <t xml:space="preserve"> </t>
    </r>
  </si>
  <si>
    <r>
      <rPr>
        <b/>
        <sz val="10"/>
        <color theme="1"/>
        <rFont val="Arial"/>
      </rPr>
      <t>Observaciones (</t>
    </r>
    <r>
      <rPr>
        <sz val="10"/>
        <color theme="1"/>
        <rFont val="Arial"/>
      </rPr>
      <t>detallar observaciones</t>
    </r>
    <r>
      <rPr>
        <b/>
        <sz val="10"/>
        <color theme="1"/>
        <rFont val="Arial"/>
      </rPr>
      <t>)</t>
    </r>
  </si>
  <si>
    <t>1-3N2YU675</t>
  </si>
  <si>
    <t>ANDRES EDUARDO RODRIGUEZ BERMEDO</t>
  </si>
  <si>
    <t xml:space="preserve">Juan Castellon 4081, Quinta Normal </t>
  </si>
  <si>
    <t>Victor Yañez</t>
  </si>
  <si>
    <t>https://drive.google.com/open?id=13PPlqo63EbZRR7L89FEGqMnXDfQv8n-r</t>
  </si>
  <si>
    <t>https://drive.google.com/open?id=17d52t5PmTfXPB9_QbA6OqPf9kiImuzOs</t>
  </si>
  <si>
    <t>https://drive.google.com/open?id=1lDE3Am1y1Mw5GWKg_p9mLlaSQGqGgcXE</t>
  </si>
  <si>
    <t>https://drive.google.com/open?id=1yLJtRMHB524hoNw9q5pILGEoIKZRcthN</t>
  </si>
  <si>
    <t>Falta instalar pasa muros, a realizar preguntas a cliente indica haber aclarado las dudas del funcionamiento de forma correcta.</t>
  </si>
  <si>
    <t>1-3N5H0O6V</t>
  </si>
  <si>
    <t xml:space="preserve">Rio backer 5632, Quinta Normal </t>
  </si>
  <si>
    <t>https://drive.google.com/open?id=1MKp2JuTG6FLN0ueQHwBGFuQSkTp8nAcB</t>
  </si>
  <si>
    <t>https://drive.google.com/open?id=1ECZb-tJbGDX2bKOxosQrZyrzym9KBxL2</t>
  </si>
  <si>
    <t>Sin moradores en domicilio, se evidencia al exterior que no se instala soporte drop, pasa muro instalado sin perforación adecuada</t>
  </si>
  <si>
    <t>1-3N7Q47LB</t>
  </si>
  <si>
    <t>JUAN PABLO CACERES SOBARZO</t>
  </si>
  <si>
    <t>Limonares 399</t>
  </si>
  <si>
    <t>Armando Aravena</t>
  </si>
  <si>
    <t>https://drive.google.com/open?id=1Q8vNcuhdAz4joWsuGjDNyWvbEU-wJasi</t>
  </si>
  <si>
    <t>https://drive.google.com/open?id=1wg6HKw0vboOMxwjSBYFMyCoNLjQe2glH</t>
  </si>
  <si>
    <t>https://drive.google.com/open?id=1eSKueiB7HIUFlR7czqRlTA0kS2ueqrBv</t>
  </si>
  <si>
    <t>Quinto técnico q visita a cliente realizando la instalacion</t>
  </si>
  <si>
    <t>1-3N728IGS</t>
  </si>
  <si>
    <t>MARIN ORELLANA HERNAN TOMAS</t>
  </si>
  <si>
    <t>Howard 10</t>
  </si>
  <si>
    <t>Josefina Astete</t>
  </si>
  <si>
    <t>https://drive.google.com/open?id=1VJeC8kIARVBAXRJhaBg-HWlg535qIcyR</t>
  </si>
  <si>
    <t>https://drive.google.com/open?id=19fja4M2CuNqJHfMYCUY4xkR30-WEqb0T</t>
  </si>
  <si>
    <t>https://drive.google.com/open?id=1vu-Eev9UKvXcT1YJ8o4Tt9Y-UNmKsclY</t>
  </si>
  <si>
    <t>https://drive.google.com/open?id=14TYRsLkplV2F4PgRT-NqLGyJXyvd-eYE</t>
  </si>
  <si>
    <t>Orden no se termina problema de dB , técnico sin chicote y falta de guía omologada</t>
  </si>
  <si>
    <t>1-3N3AEQ7U</t>
  </si>
  <si>
    <t>ALVARO IVAN HERRERA SALINAS</t>
  </si>
  <si>
    <t>No hay derivacion</t>
  </si>
  <si>
    <t>CATEDRAL 4245 DEPTO 1806 QUINTAN NORMAL</t>
  </si>
  <si>
    <t>Omar fuentes</t>
  </si>
  <si>
    <t>https://drive.google.com/open?id=1NGfQlyzAFNPmEvRedGZsf2pxU2BwIdRG</t>
  </si>
  <si>
    <t>https://drive.google.com/open?id=1F83yxxgfvVETwqxnxgE5y_AiZliJsXcR</t>
  </si>
  <si>
    <t>https://drive.google.com/open?id=1qYERsMZYaQUmpyStu7SKkCOMWtWdsSgj</t>
  </si>
  <si>
    <t xml:space="preserve">Se realiza mesa de trabajo informando indicadores operacional
Se verifica estado de kit fo con fusionadora encontrado cortadora de fibra en mal estado (falta tornillo)
Se informa la importancia de uso one click en terreno y el autochequeo de estado de herramientas 
Se realiza cambio de cortadora fo en buen estado
Ademas de realiza inducción en la entrega de servicios BA-IPTV a nucleo familiar 
Se realizara seguimiento en terreno para ver su evolución </t>
  </si>
  <si>
    <t>1-3N94E2SQ</t>
  </si>
  <si>
    <t xml:space="preserve">Las Brisas 0804, Recoleta </t>
  </si>
  <si>
    <t>https://drive.google.com/open?id=15KDgPCFq3sfPmtt5xX54MeAKk9jAUKVI</t>
  </si>
  <si>
    <t>https://drive.google.com/open?id=1K-xGQrbagf4oW-D6DTh5YlQTXxo403UC</t>
  </si>
  <si>
    <t>https://drive.google.com/open?id=183JRK--xQWbxG4bkT39QAKRZBROukIUS</t>
  </si>
  <si>
    <t>https://drive.google.com/open?id=1mT_0H1IUWykWAH58LpNzTr7AD2cAcUIN</t>
  </si>
  <si>
    <t>No utiliza one click, cliente conforme</t>
  </si>
  <si>
    <t>1-3N9FYITR</t>
  </si>
  <si>
    <t xml:space="preserve">Coronel de Quintana 428, Independencia </t>
  </si>
  <si>
    <t>Miguel Morales</t>
  </si>
  <si>
    <t>https://drive.google.com/open?id=12wtFt_wPMKaaRNepL8OxbL8THTvW1rpz</t>
  </si>
  <si>
    <t>https://drive.google.com/open?id=11NCk5q4BXejTZqIpnwKMwpnaeKMX6obP</t>
  </si>
  <si>
    <t>https://drive.google.com/open?id=1gY7a-UzONH12AZX1pFa3JgqUrQtTqrdB</t>
  </si>
  <si>
    <t>https://drive.google.com/open?id=1MnC4kw_8M8wT0rlU24_dE4d_Ds8izo_E</t>
  </si>
  <si>
    <t xml:space="preserve">Roseta fuera de norma a petición de cliente, cliente indica tener problemas de cobertura en un extremo de la casa, se recomienda solicitar repetidor de señal. Instalación de ont ubicada en lugar solicitado por cliente </t>
  </si>
  <si>
    <t>1-3N6CTV6X</t>
  </si>
  <si>
    <t>Las Bandurrias  14</t>
  </si>
  <si>
    <t>https://drive.google.com/open?id=1-QRkO5YpAkz38prf9Y9Bw8G2tEzPwMOB</t>
  </si>
  <si>
    <t>https://drive.google.com/open?id=1o_Awr_qJTuOGbya23lKOgpt8Qe3P_lbn</t>
  </si>
  <si>
    <t>https://drive.google.com/open?id=1_umJ2T0gHpdeAPP5rTnZeH-iCcxKr8BQ</t>
  </si>
  <si>
    <t>https://drive.google.com/open?id=1TzdMGzyYx5WTozjYRFT2uT4JAqQdxQS9</t>
  </si>
  <si>
    <t>Sin pasamuro.</t>
  </si>
  <si>
    <t>1-3N9IKPTH</t>
  </si>
  <si>
    <t>SEVILLA 1403</t>
  </si>
  <si>
    <t>PABLO AURELIO SALDAÑA SANDALLA</t>
  </si>
  <si>
    <t>https://drive.google.com/open?id=1po2Usoq_zwtjp4HX44MoKrgj60hav7UT</t>
  </si>
  <si>
    <t>https://drive.google.com/open?id=1zg-fW83tan2MPbaZRDYhDZomtXiQ6a_c</t>
  </si>
  <si>
    <t>https://drive.google.com/open?id=19H2kjEx3lwbXwq9aKGzDGUKndI7loOGq</t>
  </si>
  <si>
    <t xml:space="preserve">-TECNICO NO UTILIZA ONE CLICK EN TODOS LOS EXTREMOS (JUMPER, CTO)
-TECNICO NO CAPACITA SERVICIOS ENTREGADOS EN SU TOTALIDAD
 </t>
  </si>
  <si>
    <t>solo utiliza onde click en roseta optica no en su totalidad</t>
  </si>
  <si>
    <t>1-3NA4KLE5</t>
  </si>
  <si>
    <t xml:space="preserve">Tres de mayo 2685 edificio A dpto 204, independencia </t>
  </si>
  <si>
    <t>Aisneis Monte Leon</t>
  </si>
  <si>
    <t>https://drive.google.com/open?id=1yh0RqesENYxgJioTiLC6eCgf_izZmf_X</t>
  </si>
  <si>
    <t>https://drive.google.com/open?id=1UA9NOOfm_FUsc0sAasPLGcVIysznqYuP</t>
  </si>
  <si>
    <t>https://drive.google.com/open?id=1CN6XrDQMMT9mjrjBPVLl49l3NvnzY1BA</t>
  </si>
  <si>
    <t>https://drive.google.com/open?id=1IxhwifcGKSW_i_kYEj89Mmqxd2QowsBE</t>
  </si>
  <si>
    <t>Auditoria en acompañamiento destacando el uso de herramientas según procedimiento ambos one click</t>
  </si>
  <si>
    <t>1-3ND1S289</t>
  </si>
  <si>
    <t>VICTOR HUGO HUAMANI</t>
  </si>
  <si>
    <t xml:space="preserve">Recabarren 1584, Independencia </t>
  </si>
  <si>
    <t>Guillermo Puebla</t>
  </si>
  <si>
    <t>https://drive.google.com/open?id=1FK9Fm-hJrywhyAtb6KX6xUgQ95_L8DCb</t>
  </si>
  <si>
    <t>https://drive.google.com/open?id=1c7K51__DBi4S5c0_jXLS82vJyErpdcEl</t>
  </si>
  <si>
    <t>https://drive.google.com/open?id=175wmetPS8lkwNiPqFoJHg0ClHU-Xlywv</t>
  </si>
  <si>
    <t>https://drive.google.com/open?id=1ib28GsSsZ6_D2UPnN34V44_vE4lMsjT1</t>
  </si>
  <si>
    <t xml:space="preserve">Servicio instalado, solo se instala repetidor, si explica el funcionamiento del servicio </t>
  </si>
  <si>
    <t>1-3NA7AZB4</t>
  </si>
  <si>
    <t>ZINC 531</t>
  </si>
  <si>
    <t>EMILCE DEL CARMEN PEREZ PEREZ</t>
  </si>
  <si>
    <t>https://drive.google.com/open?id=16MzYbpU1T2i6yGDx9YltGMm5BWUqBy8I</t>
  </si>
  <si>
    <t>https://drive.google.com/open?id=1pn2uyjHZOjP3PxgwzAGWRciKrmPfAeUp</t>
  </si>
  <si>
    <t>https://drive.google.com/open?id=1eQH55jHKTpEu_X7G0R-3gu5NlgYfY15z</t>
  </si>
  <si>
    <t>https://drive.google.com/open?id=1xs2ayM4xI8WCoz54-Cy2bCmBOVwH4tJE</t>
  </si>
  <si>
    <t>DEBILIDADES-TECNICO NO  CUMPLE CON NORMAS DE INSTALACION-NO INSTALA SOPORTE DROP.-NO INSTALA PASAMUROS.-SOLO CAPACITA EN FORMA PARCIAL PRODUCTOS INSTALADOS-NO MUESTRA TEST DE VELOCIDAD Y REALIZA PRUEBAS DE COBERTURA WIFI-TECNICO NFORMA A QUIEN CAPACITA EN DOMICILIO EN TOA-TECNICO SALE 4 VECES DE DOMICILIO DE CLIENTE A BUSCAR MATERIALES O  EQUIPOS 
NOTA: SE CITA A MESA DE TRABAJO PARA REFLEXIONAR EN APLICAR MEJORAS PARA SER APLICADAS EN TERRENO</t>
  </si>
  <si>
    <t>-</t>
  </si>
  <si>
    <t>1-3NEATX1M</t>
  </si>
  <si>
    <t>Aviador bleriot 2561, Quinta Normal</t>
  </si>
  <si>
    <t>Alfonso Covarrubias</t>
  </si>
  <si>
    <t>https://drive.google.com/open?id=1Y8Cfh87znZW3suakDsP6fLxmlQ9Phsz-</t>
  </si>
  <si>
    <t>https://drive.google.com/open?id=1uWNsEPoQ08EeVH9plTgpasLN8u23Qn5D</t>
  </si>
  <si>
    <t>https://drive.google.com/open?id=18AfFhcfGEXSZpB-3buXrF1NwAMcyDqaB</t>
  </si>
  <si>
    <t xml:space="preserve">No corta pestaña y no deja tolerancia en roseta, instalación al interior por ductos, no se requiere pasa muros </t>
  </si>
  <si>
    <t>1-3NDSEUY5</t>
  </si>
  <si>
    <t xml:space="preserve">Pasaje 16 norte 809, Independencia </t>
  </si>
  <si>
    <t>Miriam Antognoni cervantes</t>
  </si>
  <si>
    <t>https://drive.google.com/open?id=1qAx-W3NPyL2fXx2ueK9w5kZj5_2GVa1W</t>
  </si>
  <si>
    <t>https://drive.google.com/open?id=1Ys6nt4mKfVNhwTJ1l5mGZmPtCDTs2wiD</t>
  </si>
  <si>
    <t>https://drive.google.com/open?id=1_rR7gN5y9InaQxMnPBe41qRYzIVGu2lO</t>
  </si>
  <si>
    <t xml:space="preserve">Repetidor, a petición de cliente no se instala cable utp por estética servicio okey, no instala pasa muros al interior </t>
  </si>
  <si>
    <t>1-3NDWKZA0</t>
  </si>
  <si>
    <t>HECTOR SANTIS MEZA</t>
  </si>
  <si>
    <t xml:space="preserve">Emilio campodonico 6342, Quinta Normal </t>
  </si>
  <si>
    <t>Cecilia Marquez</t>
  </si>
  <si>
    <t>https://drive.google.com/open?id=1PFip0B7ufHKKeHnUeTAxyWSdWMcEPu7-</t>
  </si>
  <si>
    <t>https://drive.google.com/open?id=1VREyEW1L4QF6a_uVmfAOAewpVhgupzXp</t>
  </si>
  <si>
    <t>https://drive.google.com/open?id=1TETN7AcbomP8by1FR1jjvR6VlAhtKclC</t>
  </si>
  <si>
    <t>https://drive.google.com/open?id=1m-eN6jCH8z1x3lEFlvmJ5RNYEoGDthmr</t>
  </si>
  <si>
    <t xml:space="preserve">No retira pestaña en roseta, no gestiona repetidor de señal para aumentar producción </t>
  </si>
  <si>
    <t>1-3NHP2Q99</t>
  </si>
  <si>
    <t>Alberdi 01549</t>
  </si>
  <si>
    <t>Nicolas Nilo Jara</t>
  </si>
  <si>
    <t>https://drive.google.com/open?id=1Srw9ivWGChc4dxUZ3qKDvzJAoXfnwUL0</t>
  </si>
  <si>
    <t>https://drive.google.com/open?id=1lggRjpO-1vj3C15DfSKMfH4QeuUpD_tr</t>
  </si>
  <si>
    <t>https://drive.google.com/open?id=1Mevy94ij7-lC7sh8oT3i78qZD05q6nQB</t>
  </si>
  <si>
    <t>https://drive.google.com/open?id=1jHJg4Ti1HFMCdoVtovSQT6DcEg0-a5gp</t>
  </si>
  <si>
    <t>Realiza instalación bajo los protocolos, uso de herramientas ambos one click correcto, retiro de pestaña en roseta okey</t>
  </si>
  <si>
    <t>1-3NJBWJB3</t>
  </si>
  <si>
    <t xml:space="preserve">General Prieto 1305, edif B dpto 1601, Independencia </t>
  </si>
  <si>
    <t>https://drive.google.com/open?id=1x9PfM7oe68fI1GDoXZmw6oPmH0KIs1iA</t>
  </si>
  <si>
    <t>https://drive.google.com/open?id=1GuCx2Pc9bbIwqE8A8sCI7z2S0TmXENSx</t>
  </si>
  <si>
    <t>https://drive.google.com/open?id=1IeLpHza4qeddPc7YQ_ReX0Lwwm3ry54W</t>
  </si>
  <si>
    <t>https://drive.google.com/open?id=1JvAgn13_aoCqozmenMDl3quKGXMoExO_</t>
  </si>
  <si>
    <t>No retira pestaña en roseta, no utiliza one click</t>
  </si>
  <si>
    <t>1-3NL4LLZO</t>
  </si>
  <si>
    <t>JONATHAN DIAZ CALDERON</t>
  </si>
  <si>
    <t xml:space="preserve">Lircay 0370, Recoleta </t>
  </si>
  <si>
    <t>Camila Ordenes</t>
  </si>
  <si>
    <t>https://drive.google.com/open?id=1tEudZOft8xZpMDsQSQPQeCTefP2_pegg</t>
  </si>
  <si>
    <t>https://drive.google.com/open?id=10Xlmjj0mBNKoHxU001e7vmmevZMvK43s</t>
  </si>
  <si>
    <t>https://drive.google.com/open?id=1p2tAKq4wDWPhOmNrxcjgQkRnRmLP6JL9</t>
  </si>
  <si>
    <t>https://drive.google.com/open?id=142ZUGj9G7YSmqQj_PBMrNlHaoMghoHPH</t>
  </si>
  <si>
    <t xml:space="preserve">No utiliza one click </t>
  </si>
  <si>
    <t>1-3NLYBW1U</t>
  </si>
  <si>
    <t>Membrillar 5728, Quinta Normal</t>
  </si>
  <si>
    <t>https://drive.google.com/open?id=1r0QOTrD_EHj73uRDoPT5l74DoIWcc3wT</t>
  </si>
  <si>
    <t>https://drive.google.com/open?id=14MxsC3C0f207VMLAOa5bWYleWv216rnN</t>
  </si>
  <si>
    <t>https://drive.google.com/open?id=1flZwOSfHLNBkFuA2mrKyCbnSD5a4EfU0</t>
  </si>
  <si>
    <t>https://drive.google.com/open?id=1Hg3v8SkyQN2WJQTNtfEU-LeIj27gEi1X</t>
  </si>
  <si>
    <t>A petición de cliente se instala roseta fuera de norma</t>
  </si>
  <si>
    <t>1-3NN9AV8Q</t>
  </si>
  <si>
    <t xml:space="preserve">Pablo Urzua 1559, Independencia </t>
  </si>
  <si>
    <t xml:space="preserve">Wilman Hernandez </t>
  </si>
  <si>
    <t>https://drive.google.com/open?id=12oZ5C6nPLv6t7TKKaCG0GUD4Ii-9w7z0</t>
  </si>
  <si>
    <t>https://drive.google.com/open?id=1FMERhxTFgD1yrm9IjxJ7kFwgXiUbnAg_</t>
  </si>
  <si>
    <t>https://drive.google.com/open?id=1qQa-IfAV_dLOsGZNC17MNWWzKIc7SkUQ</t>
  </si>
  <si>
    <t>https://drive.google.com/open?id=1VBmcxDYN7guoxYGYj5s7TrynjAfkJBDw</t>
  </si>
  <si>
    <t>A petición de cliente roseta se instala fuera de norma, si cumple con el corte en pestaña de roseta</t>
  </si>
  <si>
    <t>1-3NNJY7KN</t>
  </si>
  <si>
    <t xml:space="preserve">Nueva Extremadura 5372, Quinta Normal </t>
  </si>
  <si>
    <t>Carlos Flores</t>
  </si>
  <si>
    <t>https://drive.google.com/open?id=1k7NrqxzILvpaTm4qWKGA0--kvvfmIIPD</t>
  </si>
  <si>
    <t>https://drive.google.com/open?id=1KEgvIgqv-ptL598vs8XqqQyy3OhdPw6S</t>
  </si>
  <si>
    <t>https://drive.google.com/open?id=18eY7uINq6UqqU6StJ9GOuPT_sbq1-Zdo</t>
  </si>
  <si>
    <t>https://drive.google.com/open?id=15WtN5v6Aw0eRGykvQp2rGSm_0U6UaInr</t>
  </si>
  <si>
    <t>No retira pestaña en roseta, utiliza herramientas de ambos one click</t>
  </si>
  <si>
    <t>1-3ND4KOAK</t>
  </si>
  <si>
    <t>Pasaje C 68</t>
  </si>
  <si>
    <t>Daniela Segovia</t>
  </si>
  <si>
    <t>https://drive.google.com/open?id=1ZHmYxeoFOC5phCiVio592U7rhVZ0tYXy</t>
  </si>
  <si>
    <t>https://drive.google.com/open?id=1egI1lxqhCpkbi4T4tixnLNGbMi8mvw1h</t>
  </si>
  <si>
    <t>https://drive.google.com/open?id=15AlcG5YugrRMwnS_TVvHf372kGJ9nrqg</t>
  </si>
  <si>
    <t>https://drive.google.com/open?id=1KDROq1VK7guj15eYPcVTBxTS5UbN_JpJ</t>
  </si>
  <si>
    <t>Técnico cumple con las normas.</t>
  </si>
  <si>
    <t>1-3NFDRCY3</t>
  </si>
  <si>
    <t>Cotacotani 34</t>
  </si>
  <si>
    <t>Erick Arrue</t>
  </si>
  <si>
    <t>https://drive.google.com/open?id=1_dnXHFhbI_rHIPquJovLBhU46yIrAZ3n</t>
  </si>
  <si>
    <t>https://drive.google.com/open?id=1mNdABhyD-BWi_0xnmvqaCeLnpVpDiURR</t>
  </si>
  <si>
    <t>https://drive.google.com/open?id=1Vk1aFMxBIdlXyYBKm1PRsmfCVwtQMPsV</t>
  </si>
  <si>
    <t>https://drive.google.com/open?id=1JyPmA8uNhOVvTRycpVmimBTyYoXMHg0y</t>
  </si>
  <si>
    <t>Técnico cumple con las normas</t>
  </si>
  <si>
    <t>1-3NEG6VRC</t>
  </si>
  <si>
    <t>Las Maravillas 315</t>
  </si>
  <si>
    <t>Katherine Rodriguez</t>
  </si>
  <si>
    <t>https://drive.google.com/open?id=1pc_PLk8xNWHcoYORgNdryoio50_OJRe6</t>
  </si>
  <si>
    <t>https://drive.google.com/open?id=1wsYwrN88WDFb7NWHf8osRL8GnpzbB1e_</t>
  </si>
  <si>
    <t>https://drive.google.com/open?id=16tLU2tsRGSZYpel88kvrTizbREZsrQ7x</t>
  </si>
  <si>
    <t>Reparación reset de equipos , pruebas de cobertura test de velocidad</t>
  </si>
  <si>
    <t>1-3NG18R4J</t>
  </si>
  <si>
    <t>Carlos Pezoa Véliz 160</t>
  </si>
  <si>
    <t>Susana Salinas</t>
  </si>
  <si>
    <t>2, 4</t>
  </si>
  <si>
    <t>https://drive.google.com/open?id=1cD1N6AEKr1vU2RtVlCAUekMeFW0jONZc</t>
  </si>
  <si>
    <t>https://drive.google.com/open?id=1LdvtDzcg_Id4QqvHWSPg28VYwtyzhbnq</t>
  </si>
  <si>
    <t>https://drive.google.com/open?id=1OeTk1d8S6gK4Pi9SvrmwXAB_UlGSOg3H</t>
  </si>
  <si>
    <t>Reparación , se cambia conector cortado en roseta.</t>
  </si>
  <si>
    <t>1-3NJAI727</t>
  </si>
  <si>
    <t>GUERRERO LEIVA ELADIO ANDRES</t>
  </si>
  <si>
    <t>Pasaje E 32</t>
  </si>
  <si>
    <t>Jorge Caamaño</t>
  </si>
  <si>
    <t>https://drive.google.com/open?id=1KCRYVed39OkGvsCk0Um8ai5Fp51O9jAO</t>
  </si>
  <si>
    <t>https://drive.google.com/open?id=1qfFagTsqYMPvdSUFin5YtdOKQ0tlmQiT</t>
  </si>
  <si>
    <t>https://drive.google.com/open?id=1isoAII7ef9vNpSjclPMVQR5qOtG59WxP</t>
  </si>
  <si>
    <t>Reparación drop levantado en CTO.</t>
  </si>
  <si>
    <t>1-3NNEKWHY</t>
  </si>
  <si>
    <t>HECTOR DAVID REYES OLMOS</t>
  </si>
  <si>
    <t>Parinacota 50 depto 21</t>
  </si>
  <si>
    <t>Mama de titular</t>
  </si>
  <si>
    <t>https://drive.google.com/open?id=14SFHycDeSjKPiGhW0C0rxgm3MRz-nqXT</t>
  </si>
  <si>
    <t>https://drive.google.com/open?id=1knpkTpAujRFTgyyCdsXBosb0UgOFoN2E</t>
  </si>
  <si>
    <t>https://drive.google.com/open?id=1wFF803e-lPpln5LWOzqcWBALjxkJ23cK</t>
  </si>
  <si>
    <t>https://drive.google.com/open?id=1MwSEkrsBBQvBBAIH6sUjmiE0-F2pEfCp</t>
  </si>
  <si>
    <t>Instalación , técnico reutiliza drop a petición de cliente el dormitorio lo había forrado palmetas de pluma voy con diseños.</t>
  </si>
  <si>
    <t xml:space="preserve">1-3N7Q47LB </t>
  </si>
  <si>
    <t>Los Limonares 399 casa 19</t>
  </si>
  <si>
    <t>https://drive.google.com/open?id=1ifMagLDjS7-z44QC25L9EwxBgIJHujRK</t>
  </si>
  <si>
    <t>https://drive.google.com/open?id=15udke8hsV9VTpZEmGDtbrUO7CrcGQMlP</t>
  </si>
  <si>
    <t>https://drive.google.com/open?id=1vmgil_WaQ0xuPdmdkg1EXsUweEWPvmfe</t>
  </si>
  <si>
    <t>https://drive.google.com/open?id=17dCwfUXA9AI7eeNFUBE4rabzbj9TBekH</t>
  </si>
  <si>
    <t>Instalación por cámaras.</t>
  </si>
  <si>
    <t>1-3NOYLK2D</t>
  </si>
  <si>
    <t>XAVIER NATERA MARTINEZ</t>
  </si>
  <si>
    <t xml:space="preserve">Los suspiros 2864, Quinta Normal </t>
  </si>
  <si>
    <t>https://drive.google.com/open?id=14swrKT8z_gymQwhT5IhdH-mVs0pplGko</t>
  </si>
  <si>
    <t>https://drive.google.com/open?id=1ANguWjjWSjseyLds8byVP6N9nzOT39tx</t>
  </si>
  <si>
    <t>https://drive.google.com/open?id=1wKQpc_z6296Zpf7qLkmrb96dsJw9h1ez</t>
  </si>
  <si>
    <t>https://drive.google.com/open?id=1-1rwkehkMlzlYTR3c3C47jf_-71kQDOU</t>
  </si>
  <si>
    <t>1-3NOTROJ0</t>
  </si>
  <si>
    <t>Av Cardenal Jose Maria Caro 3368, Independencia</t>
  </si>
  <si>
    <t>Freddy Flores</t>
  </si>
  <si>
    <t>https://drive.google.com/open?id=1fr8kqb0qYgoW1kJvGmuYSGKXphKqkO4S</t>
  </si>
  <si>
    <t>https://drive.google.com/open?id=1GrHh-fNVvY4NmvaaOiftMkxS_2xxmyxP</t>
  </si>
  <si>
    <t>https://drive.google.com/open?id=1Wskr8uc0GZARG5xMSg7mC1mqiEcPBwIx</t>
  </si>
  <si>
    <t>https://drive.google.com/open?id=1qFeraJ0W0wL6xeEvbWqkxvRVd6vkiZLO</t>
  </si>
  <si>
    <t>Solo falta utilizar ambos one click</t>
  </si>
  <si>
    <t>1-3NPLUJ4C</t>
  </si>
  <si>
    <t>Av costanera sur 4832, Quinta Normal</t>
  </si>
  <si>
    <t>https://drive.google.com/open?id=1EUNQ_WLp7Z_eaFBr4GxAOwQf2hohRZLu</t>
  </si>
  <si>
    <t>https://drive.google.com/open?id=1mQ-GjTcSvbY8EU1ZE7qg5Wn1xToM9WZ5</t>
  </si>
  <si>
    <t>https://drive.google.com/open?id=1ff7gndt56j206swD5de6hpheDUPgwmmI</t>
  </si>
  <si>
    <t>https://drive.google.com/open?id=1Fq_WRrGKyUsT7_5INBoXsvGn7V7Xu18W</t>
  </si>
  <si>
    <t>No utiliza one click</t>
  </si>
  <si>
    <t>1-3NQ40XW0</t>
  </si>
  <si>
    <t xml:space="preserve">Juan Martinez De Rosa 5093, Quinta Normal </t>
  </si>
  <si>
    <t>Ricardo Morales</t>
  </si>
  <si>
    <t>https://drive.google.com/open?id=1FPvFPDgEnnypJWf0VXmV29yOAdaRKUZR</t>
  </si>
  <si>
    <t>https://drive.google.com/open?id=1otNSCl6WVib1dsbC8I8_nAyXRJ9qrRVm</t>
  </si>
  <si>
    <t>https://drive.google.com/open?id=10tliLsuE2PB_Jc-GAEJOLCkIX_U0HfhN</t>
  </si>
  <si>
    <t>https://drive.google.com/open?id=1Qp5ezsgZAQ38PrHjL_3U5p91DxI5bHmh</t>
  </si>
  <si>
    <t xml:space="preserve">No retira pestaña en roseta, sin dificultad Conector </t>
  </si>
  <si>
    <t>1-3NRRATPK</t>
  </si>
  <si>
    <t>Cuadro verde 150 edif 1 dpto 83, Estacion Central</t>
  </si>
  <si>
    <t>Jaime Carrillo</t>
  </si>
  <si>
    <t>https://drive.google.com/open?id=1H08P5rlpRN_laQ_a1DAfCZydYE8kle1J</t>
  </si>
  <si>
    <t>https://drive.google.com/open?id=14uxy8hUORxfoeCTanmU6qVyMCVQR5mFg</t>
  </si>
  <si>
    <t>https://drive.google.com/open?id=1QUbHfHIInppcuY4avzGQ8BoX81fsrszR</t>
  </si>
  <si>
    <t>https://drive.google.com/open?id=1V9PMOnlqYqfCZoTXIqI4Jj4cEQqAC2Gi</t>
  </si>
  <si>
    <t>No retira pestaña en roseta</t>
  </si>
  <si>
    <t xml:space="preserve">1-3NRWT22T </t>
  </si>
  <si>
    <t xml:space="preserve">Mundo Nuevo 4405, Quinta Normal </t>
  </si>
  <si>
    <t>Andrea Muñoz</t>
  </si>
  <si>
    <t>https://drive.google.com/open?id=1HuvvMuctR9m1VrvdLiRxt2OQIB1-g_Iv</t>
  </si>
  <si>
    <t>https://drive.google.com/open?id=1PVSZSZf1DgoMJ-OqDtUMa_7eL8vMTWsJ</t>
  </si>
  <si>
    <t>https://drive.google.com/open?id=1iBf4CyIyl_Kn6bd5FQcqxIVLAlexu6wI</t>
  </si>
  <si>
    <t>https://drive.google.com/open?id=1bkLvpgjZFHF_EH3JYOlqWL_viViW592z</t>
  </si>
  <si>
    <t xml:space="preserve">Instalación de roseta fuera de norma a petición de cliente, técnico ocupa herramientas one click según procedimiento </t>
  </si>
  <si>
    <t>1-3NSYNSJO</t>
  </si>
  <si>
    <t xml:space="preserve">Profesor fuentes maturana 5550, Quinta Normal </t>
  </si>
  <si>
    <t>Victor Poblete</t>
  </si>
  <si>
    <t>https://drive.google.com/open?id=1A1HdoZV4K2-AV-NhQvzQZXyfq2e4TI7J</t>
  </si>
  <si>
    <t>https://drive.google.com/open?id=1PTIDd-AS6cynot9xfLospy-xuV3Vkr1A</t>
  </si>
  <si>
    <t>https://drive.google.com/open?id=1OVqFnS5KM8dMxyy7T1aZEPfk1W1x8s1F</t>
  </si>
  <si>
    <t>https://drive.google.com/open?id=1vKkd3BF0vSLMJrZVAjhV9LScvzP4jr0M</t>
  </si>
  <si>
    <t>Se conversa sobre indicador de calidad para su mejora</t>
  </si>
  <si>
    <t xml:space="preserve"> 1-3NUIL83A</t>
  </si>
  <si>
    <t>Lafayette 2017, Recoleta</t>
  </si>
  <si>
    <t>Fabian Carvajal</t>
  </si>
  <si>
    <t>https://drive.google.com/open?id=19WrR74n1etaBVMen-DyGV33OgXSmaz8L</t>
  </si>
  <si>
    <t>https://drive.google.com/open?id=1KYFrVw1pL_0Q5oqO_iS8O72xbLCBhlDg</t>
  </si>
  <si>
    <t>https://drive.google.com/open?id=1E-Gbl11mMALafzRVGS9zWvYHrsIvefWr</t>
  </si>
  <si>
    <t>https://drive.google.com/open?id=1ifBXJXqm2X_xYoaodxi7OSxX1hht8G-z</t>
  </si>
  <si>
    <t>Instalación correcta, uso de cable utp para extensor, niveles de decodificador en norma, REALIZA RETIRO DE PESTAÑA EN ROSETA</t>
  </si>
  <si>
    <t>1-3NUF59Z9</t>
  </si>
  <si>
    <t>EL ROBLE 939 EDIF. B3 DEPTO 201, Recoleta</t>
  </si>
  <si>
    <t>Carlos Huircapan</t>
  </si>
  <si>
    <t>https://drive.google.com/open?id=199_vOyW5iFDWSkctyOAkdwUa0RLZsyBc</t>
  </si>
  <si>
    <t>https://drive.google.com/open?id=1JzVJLMeQukMDW8y-h87SfivUGemI6kwr</t>
  </si>
  <si>
    <t>https://drive.google.com/open?id=1KHZKWNghcu8s60NHE0Cd7WS8HLqck28B</t>
  </si>
  <si>
    <t>https://drive.google.com/open?id=1_k81iD8sO1N3-jqZHJHpo_yONU6UPC_b</t>
  </si>
  <si>
    <t>1-3NWP0QWL</t>
  </si>
  <si>
    <t xml:space="preserve">Radal 1498 casa 18, Quinta Normal </t>
  </si>
  <si>
    <t>https://drive.google.com/open?id=18UqvbkY3KeodgQJgaRGa92vrL3i_O1pb</t>
  </si>
  <si>
    <t>https://drive.google.com/open?id=1HyRdfZAs5_cmlSTaVTCGJS2e-A3Si_-a</t>
  </si>
  <si>
    <t>https://drive.google.com/open?id=1pSmPYRJRf0QplqEC0KyyTvvIYPYhPtOJ</t>
  </si>
  <si>
    <t xml:space="preserve">Se instala extensor sin cable utp a petición de cliente </t>
  </si>
  <si>
    <t>1-3NYDXWDZ</t>
  </si>
  <si>
    <t>Jose Joaquin Perez 5002, Quinta Normal</t>
  </si>
  <si>
    <t>Xion yung</t>
  </si>
  <si>
    <t>https://drive.google.com/open?id=1SVjdL1SREykm7ChzJpenb8I47kfK1UzE</t>
  </si>
  <si>
    <t>https://drive.google.com/open?id=12LZ9p5FtvnC68vpX9IRY0k7Kt2z7ctyX</t>
  </si>
  <si>
    <t>https://drive.google.com/open?id=1Gu2K57sxhqPfh1X9tDm9uMhxRJwc6BsI</t>
  </si>
  <si>
    <t>https://drive.google.com/open?id=1WY8wTjEVAmSVDGt_l_SmDLZojmOg5Fh9</t>
  </si>
  <si>
    <t xml:space="preserve">Roseta fuera de norma, no utiliza tornillos, cabe destacar que cliente solicita instalación en ese lugar del restaurante </t>
  </si>
  <si>
    <t>1-3NULQF4Y</t>
  </si>
  <si>
    <t>Renaico 20</t>
  </si>
  <si>
    <t>Mariela Salinas Olivares</t>
  </si>
  <si>
    <t>https://drive.google.com/open?id=1cESVRqpdJjeOszcnv3Da_BgsOU8HvWdM</t>
  </si>
  <si>
    <t>https://drive.google.com/open?id=1i3FZTherkoIMBaWCLspoJ6BJNJLyaqHM</t>
  </si>
  <si>
    <t>https://drive.google.com/open?id=1Ju5vTKFWsmbCWbXDH0-DKehIc1kUdVDr</t>
  </si>
  <si>
    <t>https://drive.google.com/open?id=170uojWKRP6agDUOtvY7h7RA3eY8EctjO</t>
  </si>
  <si>
    <t>Técnico cumple con protocolos.</t>
  </si>
  <si>
    <t>1-3NWS5VBF</t>
  </si>
  <si>
    <t>Cuarta 203</t>
  </si>
  <si>
    <t>Nicolle Bazaez</t>
  </si>
  <si>
    <t>https://drive.google.com/open?id=1A5zdCYMDpDZbe2cOK2q_w86m0nlqlS6y</t>
  </si>
  <si>
    <t>https://drive.google.com/open?id=1hwnvV18sbklFOftopkLg9K9ph8gM_K2A</t>
  </si>
  <si>
    <t>https://drive.google.com/open?id=1YA4tvvOzypDQxKSpvGyr7KS0raSthwVO</t>
  </si>
  <si>
    <t>https://drive.google.com/open?id=1Jgo67AwJBKn-PzuLf_j0B0y11n39Prjv</t>
  </si>
  <si>
    <t>Reparación del servicio conector y roseta , sin pasamuro drop ya instalado.</t>
  </si>
  <si>
    <t>1-3NU93QNJ</t>
  </si>
  <si>
    <t>Dickens 73</t>
  </si>
  <si>
    <t>Mauricio Aguilar</t>
  </si>
  <si>
    <t>https://drive.google.com/open?id=1t0rl7ZhanneL1kDYdamFHO1ClKyQzDhu</t>
  </si>
  <si>
    <t>https://drive.google.com/open?id=1FTpaTqw8FzFwWFFZV4c94VfZwU0M7dwr</t>
  </si>
  <si>
    <t>https://drive.google.com/open?id=1CqgCiO4Jg6z0ZZwXbYOZqc6zcSupYUOf</t>
  </si>
  <si>
    <t>https://drive.google.com/open?id=12_1fCYbIYsFxLMEREWMJfYoHwjfo8zSf</t>
  </si>
  <si>
    <t>1-3NQE982C</t>
  </si>
  <si>
    <t>Vicentico 163 - A</t>
  </si>
  <si>
    <t>Decía Moreno</t>
  </si>
  <si>
    <t>https://drive.google.com/open?id=1eoQygdTcLraes4KFY9NrbNhXgsAMY6CS</t>
  </si>
  <si>
    <t>https://drive.google.com/open?id=1ZEMVSFWl7lIlcjueJPB8r3jhcFV07qjb</t>
  </si>
  <si>
    <t>https://drive.google.com/open?id=143zIjtMBlBRGuy39Zy1SCu8sN8bC_HLf</t>
  </si>
  <si>
    <t>https://drive.google.com/open?id=18iqN_nNvmsQsFAuH2O4vwZLe9hq91gh5</t>
  </si>
  <si>
    <t xml:space="preserve">Técnico cumple con protocolos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</si>
</sst>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0&quot; / 26&quot;"/>
    <numFmt numFmtId="166" formatCode="0&quot; / 31&quot;"/>
  </numFmts>
  <fonts count="10" x14ac:knownFonts="1">
    <font>
      <sz val="10"/>
      <color rgb="FF000000"/>
      <name val="Arial"/>
      <scheme val="minor"/>
    </font>
    <font>
      <sz val="10"/>
      <color theme="1"/>
      <name val="Arial"/>
      <scheme val="minor"/>
    </font>
    <font>
      <u/>
      <sz val="10"/>
      <color rgb="FF0000FF"/>
      <name val="Roboto"/>
    </font>
    <font>
      <sz val="10"/>
      <color theme="0"/>
      <name val="Arial"/>
      <family val="2"/>
      <scheme val="minor"/>
    </font>
    <font>
      <sz val="11"/>
      <color rgb="FF006100"/>
      <name val="Arial"/>
      <family val="2"/>
      <scheme val="minor"/>
    </font>
    <font>
      <sz val="8"/>
      <name val="Arial"/>
      <scheme val="minor"/>
    </font>
    <font>
      <b/>
      <sz val="10"/>
      <color theme="1"/>
      <name val="Arial"/>
      <scheme val="minor"/>
    </font>
    <font>
      <b/>
      <sz val="10"/>
      <color theme="1"/>
      <name val="Arial"/>
    </font>
    <font>
      <i/>
      <sz val="10"/>
      <color theme="1"/>
      <name val="Arial"/>
    </font>
    <font>
      <sz val="10"/>
      <color theme="1"/>
      <name val="Arial"/>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C6EFCE"/>
      </patternFill>
    </fill>
  </fills>
  <borders count="2">
    <border>
      <left/>
      <right/>
      <top/>
      <bottom/>
      <diagonal/>
    </border>
    <border>
      <left/>
      <right/>
      <top style="thin">
        <color rgb="FF5B3F86"/>
      </top>
      <bottom/>
      <diagonal/>
    </border>
  </borders>
  <cellStyleXfs count="2">
    <xf numFmtId="0" fontId="0" fillId="0" borderId="0"/>
    <xf numFmtId="0" fontId="4" fillId="5" borderId="0" applyNumberFormat="0" applyBorder="0" applyAlignment="0" applyProtection="0"/>
  </cellStyleXfs>
  <cellXfs count="17">
    <xf numFmtId="0" fontId="0" fillId="0" borderId="0" xfId="0"/>
    <xf numFmtId="164" fontId="1" fillId="0" borderId="0" xfId="0" applyNumberFormat="1" applyFont="1" applyAlignment="1">
      <alignment vertical="center"/>
    </xf>
    <xf numFmtId="165"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xf numFmtId="0" fontId="1" fillId="3" borderId="0" xfId="0" applyFont="1" applyFill="1" applyAlignment="1">
      <alignment vertical="center"/>
    </xf>
    <xf numFmtId="0" fontId="0" fillId="0" borderId="0" xfId="0" applyAlignment="1">
      <alignment horizontal="center"/>
    </xf>
    <xf numFmtId="0" fontId="1" fillId="4" borderId="0" xfId="0" applyFont="1" applyFill="1" applyAlignment="1">
      <alignment vertical="center"/>
    </xf>
    <xf numFmtId="0" fontId="3" fillId="2" borderId="1" xfId="0" applyFont="1" applyFill="1" applyBorder="1" applyAlignment="1">
      <alignment horizontal="center"/>
    </xf>
    <xf numFmtId="166" fontId="1" fillId="0" borderId="0" xfId="0" applyNumberFormat="1" applyFont="1" applyAlignment="1">
      <alignment vertical="center"/>
    </xf>
    <xf numFmtId="0" fontId="4" fillId="5" borderId="0" xfId="1" applyAlignment="1">
      <alignment horizontal="center"/>
    </xf>
    <xf numFmtId="0" fontId="4" fillId="5" borderId="0" xfId="1"/>
    <xf numFmtId="0" fontId="1" fillId="0" borderId="0" xfId="0" applyFont="1" applyAlignment="1">
      <alignment horizontal="left" vertical="center"/>
    </xf>
    <xf numFmtId="0" fontId="6" fillId="0" borderId="0" xfId="0" applyFont="1" applyAlignment="1">
      <alignment horizontal="left" vertical="center"/>
    </xf>
    <xf numFmtId="0" fontId="4" fillId="5" borderId="0" xfId="1" applyNumberFormat="1" applyAlignment="1">
      <alignment horizontal="center"/>
    </xf>
    <xf numFmtId="0" fontId="1" fillId="0" borderId="0" xfId="0" quotePrefix="1" applyFont="1" applyAlignment="1">
      <alignment vertical="center"/>
    </xf>
  </cellXfs>
  <cellStyles count="2">
    <cellStyle name="Bueno" xfId="1" builtinId="26"/>
    <cellStyle name="Normal" xfId="0" builtinId="0"/>
  </cellStyles>
  <dxfs count="39">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ertAlign val="baseline"/>
        <sz val="10"/>
        <color rgb="FF0000FF"/>
        <name val="Roboto"/>
        <scheme val="none"/>
      </font>
      <alignment horizontal="general" vertical="center" textRotation="0" wrapText="0" indent="0" justifyLastLine="0" shrinkToFit="0" readingOrder="0"/>
    </dxf>
    <dxf>
      <font>
        <b val="0"/>
        <i val="0"/>
        <strike val="0"/>
        <condense val="0"/>
        <extend val="0"/>
        <outline val="0"/>
        <shadow val="0"/>
        <u/>
        <vertAlign val="baseline"/>
        <sz val="10"/>
        <color rgb="FF0000FF"/>
        <name val="Roboto"/>
        <scheme val="none"/>
      </font>
      <alignment horizontal="general" vertical="center" textRotation="0" wrapText="0" indent="0" justifyLastLine="0" shrinkToFit="0" readingOrder="0"/>
    </dxf>
    <dxf>
      <font>
        <b val="0"/>
        <i val="0"/>
        <strike val="0"/>
        <condense val="0"/>
        <extend val="0"/>
        <outline val="0"/>
        <shadow val="0"/>
        <u/>
        <vertAlign val="baseline"/>
        <sz val="10"/>
        <color rgb="FF0000FF"/>
        <name val="Roboto"/>
        <scheme val="none"/>
      </font>
      <alignment horizontal="general" vertical="center" textRotation="0" wrapText="0" indent="0" justifyLastLine="0" shrinkToFit="0" readingOrder="0"/>
    </dxf>
    <dxf>
      <font>
        <b val="0"/>
        <i val="0"/>
        <strike val="0"/>
        <condense val="0"/>
        <extend val="0"/>
        <outline val="0"/>
        <shadow val="0"/>
        <u/>
        <vertAlign val="baseline"/>
        <sz val="10"/>
        <color rgb="FF0000FF"/>
        <name val="Roboto"/>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6" formatCode="0&quot; / 31&quo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m/d/yyyy\ h:mm:ss"/>
      <alignment horizontal="general" vertical="center" textRotation="0" wrapText="0" indent="0" justifyLastLine="0" shrinkToFit="0" readingOrder="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strike val="0"/>
        <outline val="0"/>
        <shadow val="0"/>
        <u val="none"/>
        <vertAlign val="baseline"/>
        <sz val="10"/>
        <color theme="0"/>
        <name val="Arial"/>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38"/>
      <tableStyleElement type="headerRow" dxfId="37"/>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J55" headerRowDxfId="34">
  <autoFilter ref="A1:AJ55" xr:uid="{00000000-000C-0000-FFFF-FFFF00000000}"/>
  <tableColumns count="36">
    <tableColumn id="1" xr3:uid="{00000000-0010-0000-0000-000001000000}" name="Marca temporal" dataDxfId="29"/>
    <tableColumn id="2" xr3:uid="{00000000-0010-0000-0000-000002000000}" name="Puntuación" dataDxfId="28"/>
    <tableColumn id="3" xr3:uid="{00000000-0010-0000-0000-000003000000}" name="N° PETICIÓN " dataDxfId="27"/>
    <tableColumn id="4" xr3:uid="{00000000-0010-0000-0000-000004000000}" name="Nombre Técnico" dataDxfId="26"/>
    <tableColumn id="5" xr3:uid="{00000000-0010-0000-0000-000005000000}" name="SUPERVISOR" dataDxfId="25"/>
    <tableColumn id="6" xr3:uid="{00000000-0010-0000-0000-000006000000}" name="Se ejecuto la actividad" dataDxfId="24"/>
    <tableColumn id="7" xr3:uid="{00000000-0010-0000-0000-000007000000}" name="Se concreta auditoria?" dataDxfId="23"/>
    <tableColumn id="8" xr3:uid="{00000000-0010-0000-0000-000008000000}" name="Motivo de la derivación" dataDxfId="33"/>
    <tableColumn id="9" xr3:uid="{00000000-0010-0000-0000-000009000000}" name="Auditoria" dataDxfId="22"/>
    <tableColumn id="10" xr3:uid="{00000000-0010-0000-0000-00000A000000}" name="Actividad" dataDxfId="21"/>
    <tableColumn id="11" xr3:uid="{00000000-0010-0000-0000-00000B000000}" name="Instala drop con soportes" dataDxfId="20"/>
    <tableColumn id="12" xr3:uid="{00000000-0010-0000-0000-00000C000000}" name="DIRECCIÓN (Calle - Numero) " dataDxfId="19"/>
    <tableColumn id="13" xr3:uid="{00000000-0010-0000-0000-00000D000000}" name="Instala Pasa-muros " dataDxfId="32"/>
    <tableColumn id="14" xr3:uid="{00000000-0010-0000-0000-00000E000000}" name="Roseta Óptica en norma y atornillada " dataDxfId="18"/>
    <tableColumn id="15" xr3:uid="{00000000-0010-0000-0000-00000F000000}" name="Repetidor Cableado" dataDxfId="31"/>
    <tableColumn id="16" xr3:uid="{00000000-0010-0000-0000-000010000000}" name="Cantidad Decodificadores" dataDxfId="17"/>
    <tableColumn id="17" xr3:uid="{00000000-0010-0000-0000-000011000000}" name="Capacitación  al Cliente" dataDxfId="16"/>
    <tableColumn id="18" xr3:uid="{00000000-0010-0000-0000-000012000000}" name="Deja Área de Trabajo Limpio " dataDxfId="15"/>
    <tableColumn id="19" xr3:uid="{00000000-0010-0000-0000-000013000000}" name="Quien recibe en domicilio" dataDxfId="14"/>
    <tableColumn id="20" xr3:uid="{00000000-0010-0000-0000-000014000000}" name="Nota de Estética del cableado " dataDxfId="13"/>
    <tableColumn id="21" xr3:uid="{00000000-0010-0000-0000-000015000000}" name="Fotografía  Módem" dataDxfId="12"/>
    <tableColumn id="22" xr3:uid="{00000000-0010-0000-0000-000016000000}" name="Fotografía Roseta  Óptica Atornillada " dataDxfId="11"/>
    <tableColumn id="23" xr3:uid="{00000000-0010-0000-0000-000017000000}" name="Fotografías Pasa-muros " dataDxfId="10"/>
    <tableColumn id="24" xr3:uid="{00000000-0010-0000-0000-000018000000}" name="Fotografías" dataDxfId="9"/>
    <tableColumn id="25" xr3:uid="{00000000-0010-0000-0000-000019000000}" name="Estado Auditoria " dataDxfId="8"/>
    <tableColumn id="26" xr3:uid="{00000000-0010-0000-0000-00001A000000}" name="Técnico cumple correctamente con su función?  " dataDxfId="7"/>
    <tableColumn id="27" xr3:uid="{00000000-0010-0000-0000-00001B000000}" name="Con que nota se evalúa al técnico " dataDxfId="6"/>
    <tableColumn id="28" xr3:uid="{00000000-0010-0000-0000-00001C000000}" name="Observaciones (detallar observaciones)" dataDxfId="5"/>
    <tableColumn id="33" xr3:uid="{6654FF87-3155-4898-9A65-816C7D124028}" name="Utiliza OneClick para realizar limpieza a conectores " dataDxfId="4"/>
    <tableColumn id="36" xr3:uid="{2662FBBF-EEE5-4E82-98C0-8584BF84424E}" name="Drop se encuentra encuentra dentro de norma de instalaciones " dataDxfId="3"/>
    <tableColumn id="35" xr3:uid="{CF2913D1-167E-463D-9DEB-ADD1D59E4B8D}" name="Reutiliza Instalación " dataDxfId="2"/>
    <tableColumn id="34" xr3:uid="{1C1000A3-E2F8-4E7C-A510-442774329E98}" name="Utiliza Alcohol isopropilico " dataDxfId="1"/>
    <tableColumn id="32" xr3:uid="{54579B12-B98C-417C-A72D-BAB0E503080E}" name="Reutiliza Instalación de otra compañía " dataDxfId="0"/>
    <tableColumn id="29" xr3:uid="{B3B22204-0EB9-42F6-9D1A-876CFB34A91A}" name="Se llevó a cabo la mesa de trabajo." dataDxfId="30" dataCellStyle="Bueno">
      <calculatedColumnFormula>IFERROR(VLOOKUP(Form_Responses[[#This Row],[Nombre Técnico]],'masa de trabajo'!$B:$C,2,0),"")</calculatedColumnFormula>
    </tableColumn>
    <tableColumn id="30" xr3:uid="{D5B9DC4A-17D5-4220-A758-C20FA12AC150}" name="Se cerró el proceso con el técnico?" dataCellStyle="Bueno">
      <calculatedColumnFormula>VLOOKUP(Form_Responses[[#This Row],[Nombre Técnico]],'masa de trabajo'!$B:$E,3,0)</calculatedColumnFormula>
    </tableColumn>
    <tableColumn id="31" xr3:uid="{6A4280CD-66D9-45AA-9502-7B76CE3469BE}" name="Observaciones " dataCellStyle="Bueno">
      <calculatedColumnFormula>VLOOKUP(Form_Responses[[#This Row],[Nombre Técnico]],'masa de trabajo'!$B:$E,4,0)</calculatedColumnFormula>
    </tableColumn>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KDROq1VK7guj15eYPcVTBxTS5UbN_JpJ" TargetMode="External"/><Relationship Id="rId21" Type="http://schemas.openxmlformats.org/officeDocument/2006/relationships/hyperlink" Target="https://drive.google.com/open?id=1qvV5AHtlp5_I4SZ6Ec-EBbt55zMespJ8" TargetMode="External"/><Relationship Id="rId42" Type="http://schemas.openxmlformats.org/officeDocument/2006/relationships/hyperlink" Target="https://drive.google.com/open?id=1ECZb-tJbGDX2bKOxosQrZyrzym9KBxL2" TargetMode="External"/><Relationship Id="rId63" Type="http://schemas.openxmlformats.org/officeDocument/2006/relationships/hyperlink" Target="https://drive.google.com/open?id=1_umJ2T0gHpdeAPP5rTnZeH-iCcxKr8BQ" TargetMode="External"/><Relationship Id="rId84" Type="http://schemas.openxmlformats.org/officeDocument/2006/relationships/hyperlink" Target="https://drive.google.com/open?id=1Ys6nt4mKfVNhwTJ1l5mGZmPtCDTs2wiD" TargetMode="External"/><Relationship Id="rId138" Type="http://schemas.openxmlformats.org/officeDocument/2006/relationships/hyperlink" Target="https://drive.google.com/open?id=17dCwfUXA9AI7eeNFUBE4rabzbj9TBekH" TargetMode="External"/><Relationship Id="rId159" Type="http://schemas.openxmlformats.org/officeDocument/2006/relationships/hyperlink" Target="https://drive.google.com/open?id=1HuvvMuctR9m1VrvdLiRxt2OQIB1-g_Iv" TargetMode="External"/><Relationship Id="rId170" Type="http://schemas.openxmlformats.org/officeDocument/2006/relationships/hyperlink" Target="https://drive.google.com/open?id=1ifBXJXqm2X_xYoaodxi7OSxX1hht8G-z" TargetMode="External"/><Relationship Id="rId191" Type="http://schemas.openxmlformats.org/officeDocument/2006/relationships/hyperlink" Target="https://drive.google.com/open?id=1FTpaTqw8FzFwWFFZV4c94VfZwU0M7dwr" TargetMode="External"/><Relationship Id="rId107" Type="http://schemas.openxmlformats.org/officeDocument/2006/relationships/hyperlink" Target="https://drive.google.com/open?id=1FMERhxTFgD1yrm9IjxJ7kFwgXiUbnAg_" TargetMode="External"/><Relationship Id="rId11" Type="http://schemas.openxmlformats.org/officeDocument/2006/relationships/hyperlink" Target="https://drive.google.com/open?id=1xRoqVLV7TnRBkCtOSTEgYjJzWnnxmSh9" TargetMode="External"/><Relationship Id="rId32" Type="http://schemas.openxmlformats.org/officeDocument/2006/relationships/hyperlink" Target="https://drive.google.com/open?id=1I5m3DHoB2XXOa5jOrNIsndX1rQFjkuR3" TargetMode="External"/><Relationship Id="rId53" Type="http://schemas.openxmlformats.org/officeDocument/2006/relationships/hyperlink" Target="https://drive.google.com/open?id=15KDgPCFq3sfPmtt5xX54MeAKk9jAUKVI" TargetMode="External"/><Relationship Id="rId74" Type="http://schemas.openxmlformats.org/officeDocument/2006/relationships/hyperlink" Target="https://drive.google.com/open?id=175wmetPS8lkwNiPqFoJHg0ClHU-Xlywv" TargetMode="External"/><Relationship Id="rId128" Type="http://schemas.openxmlformats.org/officeDocument/2006/relationships/hyperlink" Target="https://drive.google.com/open?id=1KCRYVed39OkGvsCk0Um8ai5Fp51O9jAO" TargetMode="External"/><Relationship Id="rId149" Type="http://schemas.openxmlformats.org/officeDocument/2006/relationships/hyperlink" Target="https://drive.google.com/open?id=1ff7gndt56j206swD5de6hpheDUPgwmmI" TargetMode="External"/><Relationship Id="rId5" Type="http://schemas.openxmlformats.org/officeDocument/2006/relationships/hyperlink" Target="https://drive.google.com/open?id=12iqDQ8PRPzKO0ZtxepVFD_lo9Oak1i0A" TargetMode="External"/><Relationship Id="rId95" Type="http://schemas.openxmlformats.org/officeDocument/2006/relationships/hyperlink" Target="https://drive.google.com/open?id=1GuCx2Pc9bbIwqE8A8sCI7z2S0TmXENSx" TargetMode="External"/><Relationship Id="rId160" Type="http://schemas.openxmlformats.org/officeDocument/2006/relationships/hyperlink" Target="https://drive.google.com/open?id=1PVSZSZf1DgoMJ-OqDtUMa_7eL8vMTWsJ" TargetMode="External"/><Relationship Id="rId181" Type="http://schemas.openxmlformats.org/officeDocument/2006/relationships/hyperlink" Target="https://drive.google.com/open?id=1WY8wTjEVAmSVDGt_l_SmDLZojmOg5Fh9" TargetMode="External"/><Relationship Id="rId22" Type="http://schemas.openxmlformats.org/officeDocument/2006/relationships/hyperlink" Target="https://drive.google.com/open?id=1WwnXsHKOqdcxhVKy7K78PfZqcdpIXWPD" TargetMode="External"/><Relationship Id="rId43" Type="http://schemas.openxmlformats.org/officeDocument/2006/relationships/hyperlink" Target="https://drive.google.com/open?id=1Q8vNcuhdAz4joWsuGjDNyWvbEU-wJasi" TargetMode="External"/><Relationship Id="rId64" Type="http://schemas.openxmlformats.org/officeDocument/2006/relationships/hyperlink" Target="https://drive.google.com/open?id=1TzdMGzyYx5WTozjYRFT2uT4JAqQdxQS9" TargetMode="External"/><Relationship Id="rId118" Type="http://schemas.openxmlformats.org/officeDocument/2006/relationships/hyperlink" Target="https://drive.google.com/open?id=1_dnXHFhbI_rHIPquJovLBhU46yIrAZ3n" TargetMode="External"/><Relationship Id="rId139" Type="http://schemas.openxmlformats.org/officeDocument/2006/relationships/hyperlink" Target="https://drive.google.com/open?id=14swrKT8z_gymQwhT5IhdH-mVs0pplGko" TargetMode="External"/><Relationship Id="rId85" Type="http://schemas.openxmlformats.org/officeDocument/2006/relationships/hyperlink" Target="https://drive.google.com/open?id=1_rR7gN5y9InaQxMnPBe41qRYzIVGu2lO" TargetMode="External"/><Relationship Id="rId150" Type="http://schemas.openxmlformats.org/officeDocument/2006/relationships/hyperlink" Target="https://drive.google.com/open?id=1Fq_WRrGKyUsT7_5INBoXsvGn7V7Xu18W" TargetMode="External"/><Relationship Id="rId171" Type="http://schemas.openxmlformats.org/officeDocument/2006/relationships/hyperlink" Target="https://drive.google.com/open?id=199_vOyW5iFDWSkctyOAkdwUa0RLZsyBc" TargetMode="External"/><Relationship Id="rId192" Type="http://schemas.openxmlformats.org/officeDocument/2006/relationships/hyperlink" Target="https://drive.google.com/open?id=1CqgCiO4Jg6z0ZZwXbYOZqc6zcSupYUOf" TargetMode="External"/><Relationship Id="rId12" Type="http://schemas.openxmlformats.org/officeDocument/2006/relationships/hyperlink" Target="https://drive.google.com/open?id=1HftL8nuwMbjUi_N_uPN54iieHc1SNhZ7" TargetMode="External"/><Relationship Id="rId33" Type="http://schemas.openxmlformats.org/officeDocument/2006/relationships/hyperlink" Target="https://drive.google.com/open?id=1OP1hPRSdOrAR3cXLiyxw1o2ogy31xmuT" TargetMode="External"/><Relationship Id="rId108" Type="http://schemas.openxmlformats.org/officeDocument/2006/relationships/hyperlink" Target="https://drive.google.com/open?id=1qQa-IfAV_dLOsGZNC17MNWWzKIc7SkUQ" TargetMode="External"/><Relationship Id="rId129" Type="http://schemas.openxmlformats.org/officeDocument/2006/relationships/hyperlink" Target="https://drive.google.com/open?id=1qfFagTsqYMPvdSUFin5YtdOKQ0tlmQiT" TargetMode="External"/><Relationship Id="rId54" Type="http://schemas.openxmlformats.org/officeDocument/2006/relationships/hyperlink" Target="https://drive.google.com/open?id=1K-xGQrbagf4oW-D6DTh5YlQTXxo403UC" TargetMode="External"/><Relationship Id="rId75" Type="http://schemas.openxmlformats.org/officeDocument/2006/relationships/hyperlink" Target="https://drive.google.com/open?id=1ib28GsSsZ6_D2UPnN34V44_vE4lMsjT1" TargetMode="External"/><Relationship Id="rId96" Type="http://schemas.openxmlformats.org/officeDocument/2006/relationships/hyperlink" Target="https://drive.google.com/open?id=1IeLpHza4qeddPc7YQ_ReX0Lwwm3ry54W" TargetMode="External"/><Relationship Id="rId140" Type="http://schemas.openxmlformats.org/officeDocument/2006/relationships/hyperlink" Target="https://drive.google.com/open?id=1ANguWjjWSjseyLds8byVP6N9nzOT39tx" TargetMode="External"/><Relationship Id="rId161" Type="http://schemas.openxmlformats.org/officeDocument/2006/relationships/hyperlink" Target="https://drive.google.com/open?id=1iBf4CyIyl_Kn6bd5FQcqxIVLAlexu6wI" TargetMode="External"/><Relationship Id="rId182" Type="http://schemas.openxmlformats.org/officeDocument/2006/relationships/hyperlink" Target="https://drive.google.com/open?id=1cESVRqpdJjeOszcnv3Da_BgsOU8HvWdM" TargetMode="External"/><Relationship Id="rId6" Type="http://schemas.openxmlformats.org/officeDocument/2006/relationships/hyperlink" Target="https://drive.google.com/open?id=1kU25jEZiCTDYyeWXk7c2rwKjJW51ip9r" TargetMode="External"/><Relationship Id="rId23" Type="http://schemas.openxmlformats.org/officeDocument/2006/relationships/hyperlink" Target="https://drive.google.com/open?id=1a49an2Uxx5--xhVG5AJh9DzmiTTr-8zE" TargetMode="External"/><Relationship Id="rId119" Type="http://schemas.openxmlformats.org/officeDocument/2006/relationships/hyperlink" Target="https://drive.google.com/open?id=1mNdABhyD-BWi_0xnmvqaCeLnpVpDiURR" TargetMode="External"/><Relationship Id="rId44" Type="http://schemas.openxmlformats.org/officeDocument/2006/relationships/hyperlink" Target="https://drive.google.com/open?id=1wg6HKw0vboOMxwjSBYFMyCoNLjQe2glH" TargetMode="External"/><Relationship Id="rId65" Type="http://schemas.openxmlformats.org/officeDocument/2006/relationships/hyperlink" Target="https://drive.google.com/open?id=1po2Usoq_zwtjp4HX44MoKrgj60hav7UT" TargetMode="External"/><Relationship Id="rId86" Type="http://schemas.openxmlformats.org/officeDocument/2006/relationships/hyperlink" Target="https://drive.google.com/open?id=1PFip0B7ufHKKeHnUeTAxyWSdWMcEPu7-" TargetMode="External"/><Relationship Id="rId130" Type="http://schemas.openxmlformats.org/officeDocument/2006/relationships/hyperlink" Target="https://drive.google.com/open?id=1isoAII7ef9vNpSjclPMVQR5qOtG59WxP" TargetMode="External"/><Relationship Id="rId151" Type="http://schemas.openxmlformats.org/officeDocument/2006/relationships/hyperlink" Target="https://drive.google.com/open?id=1FPvFPDgEnnypJWf0VXmV29yOAdaRKUZR" TargetMode="External"/><Relationship Id="rId172" Type="http://schemas.openxmlformats.org/officeDocument/2006/relationships/hyperlink" Target="https://drive.google.com/open?id=1JzVJLMeQukMDW8y-h87SfivUGemI6kwr" TargetMode="External"/><Relationship Id="rId193" Type="http://schemas.openxmlformats.org/officeDocument/2006/relationships/hyperlink" Target="https://drive.google.com/open?id=12_1fCYbIYsFxLMEREWMJfYoHwjfo8zSf" TargetMode="External"/><Relationship Id="rId13" Type="http://schemas.openxmlformats.org/officeDocument/2006/relationships/hyperlink" Target="https://drive.google.com/open?id=19_stumq0aaIfxRLjsrQcctleoeYxzyCD" TargetMode="External"/><Relationship Id="rId109" Type="http://schemas.openxmlformats.org/officeDocument/2006/relationships/hyperlink" Target="https://drive.google.com/open?id=1VBmcxDYN7guoxYGYj5s7TrynjAfkJBDw" TargetMode="External"/><Relationship Id="rId34" Type="http://schemas.openxmlformats.org/officeDocument/2006/relationships/hyperlink" Target="https://drive.google.com/open?id=1OujuqSLPbgqHCXkRhnw6h9V5HL8K4Mfe" TargetMode="External"/><Relationship Id="rId55" Type="http://schemas.openxmlformats.org/officeDocument/2006/relationships/hyperlink" Target="https://drive.google.com/open?id=183JRK--xQWbxG4bkT39QAKRZBROukIUS" TargetMode="External"/><Relationship Id="rId76" Type="http://schemas.openxmlformats.org/officeDocument/2006/relationships/hyperlink" Target="https://drive.google.com/open?id=16MzYbpU1T2i6yGDx9YltGMm5BWUqBy8I" TargetMode="External"/><Relationship Id="rId97" Type="http://schemas.openxmlformats.org/officeDocument/2006/relationships/hyperlink" Target="https://drive.google.com/open?id=1JvAgn13_aoCqozmenMDl3quKGXMoExO_" TargetMode="External"/><Relationship Id="rId120" Type="http://schemas.openxmlformats.org/officeDocument/2006/relationships/hyperlink" Target="https://drive.google.com/open?id=1Vk1aFMxBIdlXyYBKm1PRsmfCVwtQMPsV" TargetMode="External"/><Relationship Id="rId141" Type="http://schemas.openxmlformats.org/officeDocument/2006/relationships/hyperlink" Target="https://drive.google.com/open?id=1wKQpc_z6296Zpf7qLkmrb96dsJw9h1ez" TargetMode="External"/><Relationship Id="rId7" Type="http://schemas.openxmlformats.org/officeDocument/2006/relationships/hyperlink" Target="https://drive.google.com/open?id=1JiROAHGcZpKBb8AYqsKEkaQIUwITYdd-" TargetMode="External"/><Relationship Id="rId71" Type="http://schemas.openxmlformats.org/officeDocument/2006/relationships/hyperlink" Target="https://drive.google.com/open?id=1IxhwifcGKSW_i_kYEj89Mmqxd2QowsBE" TargetMode="External"/><Relationship Id="rId92" Type="http://schemas.openxmlformats.org/officeDocument/2006/relationships/hyperlink" Target="https://drive.google.com/open?id=1Mevy94ij7-lC7sh8oT3i78qZD05q6nQB" TargetMode="External"/><Relationship Id="rId162" Type="http://schemas.openxmlformats.org/officeDocument/2006/relationships/hyperlink" Target="https://drive.google.com/open?id=1bkLvpgjZFHF_EH3JYOlqWL_viViW592z" TargetMode="External"/><Relationship Id="rId183" Type="http://schemas.openxmlformats.org/officeDocument/2006/relationships/hyperlink" Target="https://drive.google.com/open?id=1i3FZTherkoIMBaWCLspoJ6BJNJLyaqHM" TargetMode="External"/><Relationship Id="rId2" Type="http://schemas.openxmlformats.org/officeDocument/2006/relationships/hyperlink" Target="https://drive.google.com/open?id=1M5W9rcXFlyTmREE9KJFCGx1z3V3z78jK" TargetMode="External"/><Relationship Id="rId29" Type="http://schemas.openxmlformats.org/officeDocument/2006/relationships/hyperlink" Target="https://drive.google.com/open?id=1_qsmYESpm1TZYZBTcSA0bVI1OVnaOqPZ" TargetMode="External"/><Relationship Id="rId24" Type="http://schemas.openxmlformats.org/officeDocument/2006/relationships/hyperlink" Target="https://drive.google.com/open?id=1cFFm7QlOqMpnPhvBRjg5rcmtQTiDSSzl" TargetMode="External"/><Relationship Id="rId40" Type="http://schemas.openxmlformats.org/officeDocument/2006/relationships/hyperlink" Target="https://drive.google.com/open?id=1yLJtRMHB524hoNw9q5pILGEoIKZRcthN" TargetMode="External"/><Relationship Id="rId45" Type="http://schemas.openxmlformats.org/officeDocument/2006/relationships/hyperlink" Target="https://drive.google.com/open?id=1eSKueiB7HIUFlR7czqRlTA0kS2ueqrBv" TargetMode="External"/><Relationship Id="rId66" Type="http://schemas.openxmlformats.org/officeDocument/2006/relationships/hyperlink" Target="https://drive.google.com/open?id=1zg-fW83tan2MPbaZRDYhDZomtXiQ6a_c" TargetMode="External"/><Relationship Id="rId87" Type="http://schemas.openxmlformats.org/officeDocument/2006/relationships/hyperlink" Target="https://drive.google.com/open?id=1VREyEW1L4QF6a_uVmfAOAewpVhgupzXp" TargetMode="External"/><Relationship Id="rId110" Type="http://schemas.openxmlformats.org/officeDocument/2006/relationships/hyperlink" Target="https://drive.google.com/open?id=1k7NrqxzILvpaTm4qWKGA0--kvvfmIIPD" TargetMode="External"/><Relationship Id="rId115" Type="http://schemas.openxmlformats.org/officeDocument/2006/relationships/hyperlink" Target="https://drive.google.com/open?id=1egI1lxqhCpkbi4T4tixnLNGbMi8mvw1h" TargetMode="External"/><Relationship Id="rId131" Type="http://schemas.openxmlformats.org/officeDocument/2006/relationships/hyperlink" Target="https://drive.google.com/open?id=14SFHycDeSjKPiGhW0C0rxgm3MRz-nqXT" TargetMode="External"/><Relationship Id="rId136" Type="http://schemas.openxmlformats.org/officeDocument/2006/relationships/hyperlink" Target="https://drive.google.com/open?id=15udke8hsV9VTpZEmGDtbrUO7CrcGQMlP" TargetMode="External"/><Relationship Id="rId157" Type="http://schemas.openxmlformats.org/officeDocument/2006/relationships/hyperlink" Target="https://drive.google.com/open?id=1QUbHfHIInppcuY4avzGQ8BoX81fsrszR" TargetMode="External"/><Relationship Id="rId178" Type="http://schemas.openxmlformats.org/officeDocument/2006/relationships/hyperlink" Target="https://drive.google.com/open?id=1SVjdL1SREykm7ChzJpenb8I47kfK1UzE" TargetMode="External"/><Relationship Id="rId61" Type="http://schemas.openxmlformats.org/officeDocument/2006/relationships/hyperlink" Target="https://drive.google.com/open?id=1-QRkO5YpAkz38prf9Y9Bw8G2tEzPwMOB" TargetMode="External"/><Relationship Id="rId82" Type="http://schemas.openxmlformats.org/officeDocument/2006/relationships/hyperlink" Target="https://drive.google.com/open?id=18AfFhcfGEXSZpB-3buXrF1NwAMcyDqaB" TargetMode="External"/><Relationship Id="rId152" Type="http://schemas.openxmlformats.org/officeDocument/2006/relationships/hyperlink" Target="https://drive.google.com/open?id=1otNSCl6WVib1dsbC8I8_nAyXRJ9qrRVm" TargetMode="External"/><Relationship Id="rId173" Type="http://schemas.openxmlformats.org/officeDocument/2006/relationships/hyperlink" Target="https://drive.google.com/open?id=1KHZKWNghcu8s60NHE0Cd7WS8HLqck28B" TargetMode="External"/><Relationship Id="rId194" Type="http://schemas.openxmlformats.org/officeDocument/2006/relationships/hyperlink" Target="https://drive.google.com/open?id=1eoQygdTcLraes4KFY9NrbNhXgsAMY6CS" TargetMode="External"/><Relationship Id="rId19" Type="http://schemas.openxmlformats.org/officeDocument/2006/relationships/hyperlink" Target="https://drive.google.com/open?id=1YKKAkGD4EQW-dPfPbHSEbpsBuE7HuDQ2" TargetMode="External"/><Relationship Id="rId14" Type="http://schemas.openxmlformats.org/officeDocument/2006/relationships/hyperlink" Target="https://drive.google.com/open?id=1IfDHf1Ap0Yyo32pZFKUGiyCTMwkquF8X" TargetMode="External"/><Relationship Id="rId30" Type="http://schemas.openxmlformats.org/officeDocument/2006/relationships/hyperlink" Target="https://drive.google.com/open?id=1CSmuYQmqrvrMUUa4nf16cG0GkGD3SynA" TargetMode="External"/><Relationship Id="rId35" Type="http://schemas.openxmlformats.org/officeDocument/2006/relationships/hyperlink" Target="https://drive.google.com/open?id=1WN_3WV6vkXedBc7VCDP6LUrRSoYcekyB" TargetMode="External"/><Relationship Id="rId56" Type="http://schemas.openxmlformats.org/officeDocument/2006/relationships/hyperlink" Target="https://drive.google.com/open?id=1mT_0H1IUWykWAH58LpNzTr7AD2cAcUIN" TargetMode="External"/><Relationship Id="rId77" Type="http://schemas.openxmlformats.org/officeDocument/2006/relationships/hyperlink" Target="https://drive.google.com/open?id=1pn2uyjHZOjP3PxgwzAGWRciKrmPfAeUp" TargetMode="External"/><Relationship Id="rId100" Type="http://schemas.openxmlformats.org/officeDocument/2006/relationships/hyperlink" Target="https://drive.google.com/open?id=1p2tAKq4wDWPhOmNrxcjgQkRnRmLP6JL9" TargetMode="External"/><Relationship Id="rId105" Type="http://schemas.openxmlformats.org/officeDocument/2006/relationships/hyperlink" Target="https://drive.google.com/open?id=1Hg3v8SkyQN2WJQTNtfEU-LeIj27gEi1X" TargetMode="External"/><Relationship Id="rId126" Type="http://schemas.openxmlformats.org/officeDocument/2006/relationships/hyperlink" Target="https://drive.google.com/open?id=1LdvtDzcg_Id4QqvHWSPg28VYwtyzhbnq" TargetMode="External"/><Relationship Id="rId147" Type="http://schemas.openxmlformats.org/officeDocument/2006/relationships/hyperlink" Target="https://drive.google.com/open?id=1EUNQ_WLp7Z_eaFBr4GxAOwQf2hohRZLu" TargetMode="External"/><Relationship Id="rId168" Type="http://schemas.openxmlformats.org/officeDocument/2006/relationships/hyperlink" Target="https://drive.google.com/open?id=1KYFrVw1pL_0Q5oqO_iS8O72xbLCBhlDg" TargetMode="External"/><Relationship Id="rId8" Type="http://schemas.openxmlformats.org/officeDocument/2006/relationships/hyperlink" Target="https://drive.google.com/open?id=1fjU3RvPo3EX5BcpGMOPN3bz-u6iU2Q4I" TargetMode="External"/><Relationship Id="rId51" Type="http://schemas.openxmlformats.org/officeDocument/2006/relationships/hyperlink" Target="https://drive.google.com/open?id=1F83yxxgfvVETwqxnxgE5y_AiZliJsXcR" TargetMode="External"/><Relationship Id="rId72" Type="http://schemas.openxmlformats.org/officeDocument/2006/relationships/hyperlink" Target="https://drive.google.com/open?id=1FK9Fm-hJrywhyAtb6KX6xUgQ95_L8DCb" TargetMode="External"/><Relationship Id="rId93" Type="http://schemas.openxmlformats.org/officeDocument/2006/relationships/hyperlink" Target="https://drive.google.com/open?id=1jHJg4Ti1HFMCdoVtovSQT6DcEg0-a5gp" TargetMode="External"/><Relationship Id="rId98" Type="http://schemas.openxmlformats.org/officeDocument/2006/relationships/hyperlink" Target="https://drive.google.com/open?id=1tEudZOft8xZpMDsQSQPQeCTefP2_pegg" TargetMode="External"/><Relationship Id="rId121" Type="http://schemas.openxmlformats.org/officeDocument/2006/relationships/hyperlink" Target="https://drive.google.com/open?id=1JyPmA8uNhOVvTRycpVmimBTyYoXMHg0y" TargetMode="External"/><Relationship Id="rId142" Type="http://schemas.openxmlformats.org/officeDocument/2006/relationships/hyperlink" Target="https://drive.google.com/open?id=1-1rwkehkMlzlYTR3c3C47jf_-71kQDOU" TargetMode="External"/><Relationship Id="rId163" Type="http://schemas.openxmlformats.org/officeDocument/2006/relationships/hyperlink" Target="https://drive.google.com/open?id=1A1HdoZV4K2-AV-NhQvzQZXyfq2e4TI7J" TargetMode="External"/><Relationship Id="rId184" Type="http://schemas.openxmlformats.org/officeDocument/2006/relationships/hyperlink" Target="https://drive.google.com/open?id=1Ju5vTKFWsmbCWbXDH0-DKehIc1kUdVDr" TargetMode="External"/><Relationship Id="rId189" Type="http://schemas.openxmlformats.org/officeDocument/2006/relationships/hyperlink" Target="https://drive.google.com/open?id=1Jgo67AwJBKn-PzuLf_j0B0y11n39Prjv" TargetMode="External"/><Relationship Id="rId3" Type="http://schemas.openxmlformats.org/officeDocument/2006/relationships/hyperlink" Target="https://drive.google.com/open?id=1KsGJ-oxout_7n7kZQlBeuIYexSo59vI8" TargetMode="External"/><Relationship Id="rId25" Type="http://schemas.openxmlformats.org/officeDocument/2006/relationships/hyperlink" Target="https://drive.google.com/open?id=1hUQTu7-Yh2d6RG0qCUag9TKWRnYl2eLN" TargetMode="External"/><Relationship Id="rId46" Type="http://schemas.openxmlformats.org/officeDocument/2006/relationships/hyperlink" Target="https://drive.google.com/open?id=1VJeC8kIARVBAXRJhaBg-HWlg535qIcyR" TargetMode="External"/><Relationship Id="rId67" Type="http://schemas.openxmlformats.org/officeDocument/2006/relationships/hyperlink" Target="https://drive.google.com/open?id=19H2kjEx3lwbXwq9aKGzDGUKndI7loOGq" TargetMode="External"/><Relationship Id="rId116" Type="http://schemas.openxmlformats.org/officeDocument/2006/relationships/hyperlink" Target="https://drive.google.com/open?id=15AlcG5YugrRMwnS_TVvHf372kGJ9nrqg" TargetMode="External"/><Relationship Id="rId137" Type="http://schemas.openxmlformats.org/officeDocument/2006/relationships/hyperlink" Target="https://drive.google.com/open?id=1vmgil_WaQ0xuPdmdkg1EXsUweEWPvmfe" TargetMode="External"/><Relationship Id="rId158" Type="http://schemas.openxmlformats.org/officeDocument/2006/relationships/hyperlink" Target="https://drive.google.com/open?id=1V9PMOnlqYqfCZoTXIqI4Jj4cEQqAC2Gi" TargetMode="External"/><Relationship Id="rId20" Type="http://schemas.openxmlformats.org/officeDocument/2006/relationships/hyperlink" Target="https://drive.google.com/open?id=1PhtfDwK7_KSjjmrTzZRu8eaRaS76mByG" TargetMode="External"/><Relationship Id="rId41" Type="http://schemas.openxmlformats.org/officeDocument/2006/relationships/hyperlink" Target="https://drive.google.com/open?id=1MKp2JuTG6FLN0ueQHwBGFuQSkTp8nAcB" TargetMode="External"/><Relationship Id="rId62" Type="http://schemas.openxmlformats.org/officeDocument/2006/relationships/hyperlink" Target="https://drive.google.com/open?id=1o_Awr_qJTuOGbya23lKOgpt8Qe3P_lbn" TargetMode="External"/><Relationship Id="rId83" Type="http://schemas.openxmlformats.org/officeDocument/2006/relationships/hyperlink" Target="https://drive.google.com/open?id=1qAx-W3NPyL2fXx2ueK9w5kZj5_2GVa1W" TargetMode="External"/><Relationship Id="rId88" Type="http://schemas.openxmlformats.org/officeDocument/2006/relationships/hyperlink" Target="https://drive.google.com/open?id=1TETN7AcbomP8by1FR1jjvR6VlAhtKclC" TargetMode="External"/><Relationship Id="rId111" Type="http://schemas.openxmlformats.org/officeDocument/2006/relationships/hyperlink" Target="https://drive.google.com/open?id=1KEgvIgqv-ptL598vs8XqqQyy3OhdPw6S" TargetMode="External"/><Relationship Id="rId132" Type="http://schemas.openxmlformats.org/officeDocument/2006/relationships/hyperlink" Target="https://drive.google.com/open?id=1knpkTpAujRFTgyyCdsXBosb0UgOFoN2E" TargetMode="External"/><Relationship Id="rId153" Type="http://schemas.openxmlformats.org/officeDocument/2006/relationships/hyperlink" Target="https://drive.google.com/open?id=10tliLsuE2PB_Jc-GAEJOLCkIX_U0HfhN" TargetMode="External"/><Relationship Id="rId174" Type="http://schemas.openxmlformats.org/officeDocument/2006/relationships/hyperlink" Target="https://drive.google.com/open?id=1_k81iD8sO1N3-jqZHJHpo_yONU6UPC_b" TargetMode="External"/><Relationship Id="rId179" Type="http://schemas.openxmlformats.org/officeDocument/2006/relationships/hyperlink" Target="https://drive.google.com/open?id=12LZ9p5FtvnC68vpX9IRY0k7Kt2z7ctyX" TargetMode="External"/><Relationship Id="rId195" Type="http://schemas.openxmlformats.org/officeDocument/2006/relationships/hyperlink" Target="https://drive.google.com/open?id=1ZEMVSFWl7lIlcjueJPB8r3jhcFV07qjb" TargetMode="External"/><Relationship Id="rId190" Type="http://schemas.openxmlformats.org/officeDocument/2006/relationships/hyperlink" Target="https://drive.google.com/open?id=1t0rl7ZhanneL1kDYdamFHO1ClKyQzDhu" TargetMode="External"/><Relationship Id="rId15" Type="http://schemas.openxmlformats.org/officeDocument/2006/relationships/hyperlink" Target="https://drive.google.com/open?id=1Ct3HMcGgtkRN1ays-ZSxeiG2cr3txlbM" TargetMode="External"/><Relationship Id="rId36" Type="http://schemas.openxmlformats.org/officeDocument/2006/relationships/hyperlink" Target="https://drive.google.com/open?id=1HSK3BJ7Qx0WE7hATyxPl7JT9fsOOK1DZ" TargetMode="External"/><Relationship Id="rId57" Type="http://schemas.openxmlformats.org/officeDocument/2006/relationships/hyperlink" Target="https://drive.google.com/open?id=12wtFt_wPMKaaRNepL8OxbL8THTvW1rpz" TargetMode="External"/><Relationship Id="rId106" Type="http://schemas.openxmlformats.org/officeDocument/2006/relationships/hyperlink" Target="https://drive.google.com/open?id=12oZ5C6nPLv6t7TKKaCG0GUD4Ii-9w7z0" TargetMode="External"/><Relationship Id="rId127" Type="http://schemas.openxmlformats.org/officeDocument/2006/relationships/hyperlink" Target="https://drive.google.com/open?id=1OeTk1d8S6gK4Pi9SvrmwXAB_UlGSOg3H" TargetMode="External"/><Relationship Id="rId10" Type="http://schemas.openxmlformats.org/officeDocument/2006/relationships/hyperlink" Target="https://drive.google.com/open?id=1ecPUCwGEQYjplmfEYtFc221G1_0qA_T9" TargetMode="External"/><Relationship Id="rId31" Type="http://schemas.openxmlformats.org/officeDocument/2006/relationships/hyperlink" Target="https://drive.google.com/open?id=1C7xbpqRZdhbFYfcF4iO3wNkPMuE8MDbR" TargetMode="External"/><Relationship Id="rId52" Type="http://schemas.openxmlformats.org/officeDocument/2006/relationships/hyperlink" Target="https://drive.google.com/open?id=1qYERsMZYaQUmpyStu7SKkCOMWtWdsSgj" TargetMode="External"/><Relationship Id="rId73" Type="http://schemas.openxmlformats.org/officeDocument/2006/relationships/hyperlink" Target="https://drive.google.com/open?id=1c7K51__DBi4S5c0_jXLS82vJyErpdcEl" TargetMode="External"/><Relationship Id="rId78" Type="http://schemas.openxmlformats.org/officeDocument/2006/relationships/hyperlink" Target="https://drive.google.com/open?id=1eQH55jHKTpEu_X7G0R-3gu5NlgYfY15z" TargetMode="External"/><Relationship Id="rId94" Type="http://schemas.openxmlformats.org/officeDocument/2006/relationships/hyperlink" Target="https://drive.google.com/open?id=1x9PfM7oe68fI1GDoXZmw6oPmH0KIs1iA" TargetMode="External"/><Relationship Id="rId99" Type="http://schemas.openxmlformats.org/officeDocument/2006/relationships/hyperlink" Target="https://drive.google.com/open?id=10Xlmjj0mBNKoHxU001e7vmmevZMvK43s" TargetMode="External"/><Relationship Id="rId101" Type="http://schemas.openxmlformats.org/officeDocument/2006/relationships/hyperlink" Target="https://drive.google.com/open?id=142ZUGj9G7YSmqQj_PBMrNlHaoMghoHPH" TargetMode="External"/><Relationship Id="rId122" Type="http://schemas.openxmlformats.org/officeDocument/2006/relationships/hyperlink" Target="https://drive.google.com/open?id=1pc_PLk8xNWHcoYORgNdryoio50_OJRe6" TargetMode="External"/><Relationship Id="rId143" Type="http://schemas.openxmlformats.org/officeDocument/2006/relationships/hyperlink" Target="https://drive.google.com/open?id=1fr8kqb0qYgoW1kJvGmuYSGKXphKqkO4S" TargetMode="External"/><Relationship Id="rId148" Type="http://schemas.openxmlformats.org/officeDocument/2006/relationships/hyperlink" Target="https://drive.google.com/open?id=1mQ-GjTcSvbY8EU1ZE7qg5Wn1xToM9WZ5" TargetMode="External"/><Relationship Id="rId164" Type="http://schemas.openxmlformats.org/officeDocument/2006/relationships/hyperlink" Target="https://drive.google.com/open?id=1PTIDd-AS6cynot9xfLospy-xuV3Vkr1A" TargetMode="External"/><Relationship Id="rId169" Type="http://schemas.openxmlformats.org/officeDocument/2006/relationships/hyperlink" Target="https://drive.google.com/open?id=1E-Gbl11mMALafzRVGS9zWvYHrsIvefWr" TargetMode="External"/><Relationship Id="rId185" Type="http://schemas.openxmlformats.org/officeDocument/2006/relationships/hyperlink" Target="https://drive.google.com/open?id=170uojWKRP6agDUOtvY7h7RA3eY8EctjO" TargetMode="External"/><Relationship Id="rId4" Type="http://schemas.openxmlformats.org/officeDocument/2006/relationships/hyperlink" Target="https://drive.google.com/open?id=1ugWq8gxEvzZ3Zrq6Vt4RfT-zPz7aB4ol" TargetMode="External"/><Relationship Id="rId9" Type="http://schemas.openxmlformats.org/officeDocument/2006/relationships/hyperlink" Target="https://drive.google.com/open?id=17lXQX1mTuaoqy9ifOYdLztSv-UjgbzJ7" TargetMode="External"/><Relationship Id="rId180" Type="http://schemas.openxmlformats.org/officeDocument/2006/relationships/hyperlink" Target="https://drive.google.com/open?id=1Gu2K57sxhqPfh1X9tDm9uMhxRJwc6BsI" TargetMode="External"/><Relationship Id="rId26" Type="http://schemas.openxmlformats.org/officeDocument/2006/relationships/hyperlink" Target="https://drive.google.com/open?id=1nF8b6PoUw5jmaMs3GmfPKH9f_sIPQnnU" TargetMode="External"/><Relationship Id="rId47" Type="http://schemas.openxmlformats.org/officeDocument/2006/relationships/hyperlink" Target="https://drive.google.com/open?id=19fja4M2CuNqJHfMYCUY4xkR30-WEqb0T" TargetMode="External"/><Relationship Id="rId68" Type="http://schemas.openxmlformats.org/officeDocument/2006/relationships/hyperlink" Target="https://drive.google.com/open?id=1yh0RqesENYxgJioTiLC6eCgf_izZmf_X" TargetMode="External"/><Relationship Id="rId89" Type="http://schemas.openxmlformats.org/officeDocument/2006/relationships/hyperlink" Target="https://drive.google.com/open?id=1m-eN6jCH8z1x3lEFlvmJ5RNYEoGDthmr" TargetMode="External"/><Relationship Id="rId112" Type="http://schemas.openxmlformats.org/officeDocument/2006/relationships/hyperlink" Target="https://drive.google.com/open?id=18eY7uINq6UqqU6StJ9GOuPT_sbq1-Zdo" TargetMode="External"/><Relationship Id="rId133" Type="http://schemas.openxmlformats.org/officeDocument/2006/relationships/hyperlink" Target="https://drive.google.com/open?id=1wFF803e-lPpln5LWOzqcWBALjxkJ23cK" TargetMode="External"/><Relationship Id="rId154" Type="http://schemas.openxmlformats.org/officeDocument/2006/relationships/hyperlink" Target="https://drive.google.com/open?id=1Qp5ezsgZAQ38PrHjL_3U5p91DxI5bHmh" TargetMode="External"/><Relationship Id="rId175" Type="http://schemas.openxmlformats.org/officeDocument/2006/relationships/hyperlink" Target="https://drive.google.com/open?id=18UqvbkY3KeodgQJgaRGa92vrL3i_O1pb" TargetMode="External"/><Relationship Id="rId196" Type="http://schemas.openxmlformats.org/officeDocument/2006/relationships/hyperlink" Target="https://drive.google.com/open?id=143zIjtMBlBRGuy39Zy1SCu8sN8bC_HLf" TargetMode="External"/><Relationship Id="rId16" Type="http://schemas.openxmlformats.org/officeDocument/2006/relationships/hyperlink" Target="https://drive.google.com/open?id=1cAg185xHKS5Jvh4Ti7ijYMyyD7sf934v" TargetMode="External"/><Relationship Id="rId37" Type="http://schemas.openxmlformats.org/officeDocument/2006/relationships/hyperlink" Target="https://drive.google.com/open?id=13PPlqo63EbZRR7L89FEGqMnXDfQv8n-r" TargetMode="External"/><Relationship Id="rId58" Type="http://schemas.openxmlformats.org/officeDocument/2006/relationships/hyperlink" Target="https://drive.google.com/open?id=11NCk5q4BXejTZqIpnwKMwpnaeKMX6obP" TargetMode="External"/><Relationship Id="rId79" Type="http://schemas.openxmlformats.org/officeDocument/2006/relationships/hyperlink" Target="https://drive.google.com/open?id=1xs2ayM4xI8WCoz54-Cy2bCmBOVwH4tJE" TargetMode="External"/><Relationship Id="rId102" Type="http://schemas.openxmlformats.org/officeDocument/2006/relationships/hyperlink" Target="https://drive.google.com/open?id=1r0QOTrD_EHj73uRDoPT5l74DoIWcc3wT" TargetMode="External"/><Relationship Id="rId123" Type="http://schemas.openxmlformats.org/officeDocument/2006/relationships/hyperlink" Target="https://drive.google.com/open?id=1wsYwrN88WDFb7NWHf8osRL8GnpzbB1e_" TargetMode="External"/><Relationship Id="rId144" Type="http://schemas.openxmlformats.org/officeDocument/2006/relationships/hyperlink" Target="https://drive.google.com/open?id=1GrHh-fNVvY4NmvaaOiftMkxS_2xxmyxP" TargetMode="External"/><Relationship Id="rId90" Type="http://schemas.openxmlformats.org/officeDocument/2006/relationships/hyperlink" Target="https://drive.google.com/open?id=1Srw9ivWGChc4dxUZ3qKDvzJAoXfnwUL0" TargetMode="External"/><Relationship Id="rId165" Type="http://schemas.openxmlformats.org/officeDocument/2006/relationships/hyperlink" Target="https://drive.google.com/open?id=1OVqFnS5KM8dMxyy7T1aZEPfk1W1x8s1F" TargetMode="External"/><Relationship Id="rId186" Type="http://schemas.openxmlformats.org/officeDocument/2006/relationships/hyperlink" Target="https://drive.google.com/open?id=1A5zdCYMDpDZbe2cOK2q_w86m0nlqlS6y" TargetMode="External"/><Relationship Id="rId27" Type="http://schemas.openxmlformats.org/officeDocument/2006/relationships/hyperlink" Target="https://drive.google.com/open?id=1bm95wbg0W4QfOhTQ-l3iSNpuXZbayYdA" TargetMode="External"/><Relationship Id="rId48" Type="http://schemas.openxmlformats.org/officeDocument/2006/relationships/hyperlink" Target="https://drive.google.com/open?id=1vu-Eev9UKvXcT1YJ8o4Tt9Y-UNmKsclY" TargetMode="External"/><Relationship Id="rId69" Type="http://schemas.openxmlformats.org/officeDocument/2006/relationships/hyperlink" Target="https://drive.google.com/open?id=1UA9NOOfm_FUsc0sAasPLGcVIysznqYuP" TargetMode="External"/><Relationship Id="rId113" Type="http://schemas.openxmlformats.org/officeDocument/2006/relationships/hyperlink" Target="https://drive.google.com/open?id=15WtN5v6Aw0eRGykvQp2rGSm_0U6UaInr" TargetMode="External"/><Relationship Id="rId134" Type="http://schemas.openxmlformats.org/officeDocument/2006/relationships/hyperlink" Target="https://drive.google.com/open?id=1MwSEkrsBBQvBBAIH6sUjmiE0-F2pEfCp" TargetMode="External"/><Relationship Id="rId80" Type="http://schemas.openxmlformats.org/officeDocument/2006/relationships/hyperlink" Target="https://drive.google.com/open?id=1Y8Cfh87znZW3suakDsP6fLxmlQ9Phsz-" TargetMode="External"/><Relationship Id="rId155" Type="http://schemas.openxmlformats.org/officeDocument/2006/relationships/hyperlink" Target="https://drive.google.com/open?id=1H08P5rlpRN_laQ_a1DAfCZydYE8kle1J" TargetMode="External"/><Relationship Id="rId176" Type="http://schemas.openxmlformats.org/officeDocument/2006/relationships/hyperlink" Target="https://drive.google.com/open?id=1HyRdfZAs5_cmlSTaVTCGJS2e-A3Si_-a" TargetMode="External"/><Relationship Id="rId197" Type="http://schemas.openxmlformats.org/officeDocument/2006/relationships/hyperlink" Target="https://drive.google.com/open?id=18iqN_nNvmsQsFAuH2O4vwZLe9hq91gh5" TargetMode="External"/><Relationship Id="rId17" Type="http://schemas.openxmlformats.org/officeDocument/2006/relationships/hyperlink" Target="https://drive.google.com/open?id=1FMSZOl4jm7NCv0YV2I76OTv48kR4YjC0" TargetMode="External"/><Relationship Id="rId38" Type="http://schemas.openxmlformats.org/officeDocument/2006/relationships/hyperlink" Target="https://drive.google.com/open?id=17d52t5PmTfXPB9_QbA6OqPf9kiImuzOs" TargetMode="External"/><Relationship Id="rId59" Type="http://schemas.openxmlformats.org/officeDocument/2006/relationships/hyperlink" Target="https://drive.google.com/open?id=1gY7a-UzONH12AZX1pFa3JgqUrQtTqrdB" TargetMode="External"/><Relationship Id="rId103" Type="http://schemas.openxmlformats.org/officeDocument/2006/relationships/hyperlink" Target="https://drive.google.com/open?id=14MxsC3C0f207VMLAOa5bWYleWv216rnN" TargetMode="External"/><Relationship Id="rId124" Type="http://schemas.openxmlformats.org/officeDocument/2006/relationships/hyperlink" Target="https://drive.google.com/open?id=16tLU2tsRGSZYpel88kvrTizbREZsrQ7x" TargetMode="External"/><Relationship Id="rId70" Type="http://schemas.openxmlformats.org/officeDocument/2006/relationships/hyperlink" Target="https://drive.google.com/open?id=1CN6XrDQMMT9mjrjBPVLl49l3NvnzY1BA" TargetMode="External"/><Relationship Id="rId91" Type="http://schemas.openxmlformats.org/officeDocument/2006/relationships/hyperlink" Target="https://drive.google.com/open?id=1lggRjpO-1vj3C15DfSKMfH4QeuUpD_tr" TargetMode="External"/><Relationship Id="rId145" Type="http://schemas.openxmlformats.org/officeDocument/2006/relationships/hyperlink" Target="https://drive.google.com/open?id=1Wskr8uc0GZARG5xMSg7mC1mqiEcPBwIx" TargetMode="External"/><Relationship Id="rId166" Type="http://schemas.openxmlformats.org/officeDocument/2006/relationships/hyperlink" Target="https://drive.google.com/open?id=1vKkd3BF0vSLMJrZVAjhV9LScvzP4jr0M" TargetMode="External"/><Relationship Id="rId187" Type="http://schemas.openxmlformats.org/officeDocument/2006/relationships/hyperlink" Target="https://drive.google.com/open?id=1hwnvV18sbklFOftopkLg9K9ph8gM_K2A" TargetMode="External"/><Relationship Id="rId1" Type="http://schemas.openxmlformats.org/officeDocument/2006/relationships/hyperlink" Target="https://drive.google.com/open?id=1eLiAAX-JitqlZ_Uy1Wtqd-BaYuer__sy" TargetMode="External"/><Relationship Id="rId28" Type="http://schemas.openxmlformats.org/officeDocument/2006/relationships/hyperlink" Target="https://drive.google.com/open?id=13gcBcAKvwZidaHyvwSsOryf5yBWRFTBU" TargetMode="External"/><Relationship Id="rId49" Type="http://schemas.openxmlformats.org/officeDocument/2006/relationships/hyperlink" Target="https://drive.google.com/open?id=14TYRsLkplV2F4PgRT-NqLGyJXyvd-eYE" TargetMode="External"/><Relationship Id="rId114" Type="http://schemas.openxmlformats.org/officeDocument/2006/relationships/hyperlink" Target="https://drive.google.com/open?id=1ZHmYxeoFOC5phCiVio592U7rhVZ0tYXy" TargetMode="External"/><Relationship Id="rId60" Type="http://schemas.openxmlformats.org/officeDocument/2006/relationships/hyperlink" Target="https://drive.google.com/open?id=1MnC4kw_8M8wT0rlU24_dE4d_Ds8izo_E" TargetMode="External"/><Relationship Id="rId81" Type="http://schemas.openxmlformats.org/officeDocument/2006/relationships/hyperlink" Target="https://drive.google.com/open?id=1uWNsEPoQ08EeVH9plTgpasLN8u23Qn5D" TargetMode="External"/><Relationship Id="rId135" Type="http://schemas.openxmlformats.org/officeDocument/2006/relationships/hyperlink" Target="https://drive.google.com/open?id=1ifMagLDjS7-z44QC25L9EwxBgIJHujRK" TargetMode="External"/><Relationship Id="rId156" Type="http://schemas.openxmlformats.org/officeDocument/2006/relationships/hyperlink" Target="https://drive.google.com/open?id=14uxy8hUORxfoeCTanmU6qVyMCVQR5mFg" TargetMode="External"/><Relationship Id="rId177" Type="http://schemas.openxmlformats.org/officeDocument/2006/relationships/hyperlink" Target="https://drive.google.com/open?id=1pSmPYRJRf0QplqEC0KyyTvvIYPYhPtOJ" TargetMode="External"/><Relationship Id="rId198" Type="http://schemas.openxmlformats.org/officeDocument/2006/relationships/table" Target="../tables/table1.xml"/><Relationship Id="rId18" Type="http://schemas.openxmlformats.org/officeDocument/2006/relationships/hyperlink" Target="https://drive.google.com/open?id=1n6c6KG1MLLnZmc2xervPDiZcGEiOiCyi" TargetMode="External"/><Relationship Id="rId39" Type="http://schemas.openxmlformats.org/officeDocument/2006/relationships/hyperlink" Target="https://drive.google.com/open?id=1lDE3Am1y1Mw5GWKg_p9mLlaSQGqGgcXE" TargetMode="External"/><Relationship Id="rId50" Type="http://schemas.openxmlformats.org/officeDocument/2006/relationships/hyperlink" Target="https://drive.google.com/open?id=1NGfQlyzAFNPmEvRedGZsf2pxU2BwIdRG" TargetMode="External"/><Relationship Id="rId104" Type="http://schemas.openxmlformats.org/officeDocument/2006/relationships/hyperlink" Target="https://drive.google.com/open?id=1flZwOSfHLNBkFuA2mrKyCbnSD5a4EfU0" TargetMode="External"/><Relationship Id="rId125" Type="http://schemas.openxmlformats.org/officeDocument/2006/relationships/hyperlink" Target="https://drive.google.com/open?id=1cD1N6AEKr1vU2RtVlCAUekMeFW0jONZc" TargetMode="External"/><Relationship Id="rId146" Type="http://schemas.openxmlformats.org/officeDocument/2006/relationships/hyperlink" Target="https://drive.google.com/open?id=1qFeraJ0W0wL6xeEvbWqkxvRVd6vkiZLO" TargetMode="External"/><Relationship Id="rId167" Type="http://schemas.openxmlformats.org/officeDocument/2006/relationships/hyperlink" Target="https://drive.google.com/open?id=19WrR74n1etaBVMen-DyGV33OgXSmaz8L" TargetMode="External"/><Relationship Id="rId188" Type="http://schemas.openxmlformats.org/officeDocument/2006/relationships/hyperlink" Target="https://drive.google.com/open?id=1YA4tvvOzypDQxKSpvGyr7KS0raSthwV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55"/>
  <sheetViews>
    <sheetView tabSelected="1" workbookViewId="0">
      <pane ySplit="1" topLeftCell="A19" activePane="bottomLeft" state="frozen"/>
      <selection pane="bottomLeft" sqref="A1:AG55"/>
    </sheetView>
  </sheetViews>
  <sheetFormatPr baseColWidth="10" defaultColWidth="12.6640625" defaultRowHeight="15.75" customHeight="1" x14ac:dyDescent="0.25"/>
  <cols>
    <col min="1" max="1" width="17.109375" bestFit="1" customWidth="1"/>
    <col min="2" max="2" width="12.33203125" bestFit="1" customWidth="1"/>
    <col min="3" max="3" width="15" bestFit="1" customWidth="1"/>
    <col min="4" max="4" width="39.33203125" bestFit="1" customWidth="1"/>
    <col min="5" max="5" width="18.21875" bestFit="1" customWidth="1"/>
    <col min="6" max="6" width="23.77734375" bestFit="1" customWidth="1"/>
    <col min="7" max="7" width="23.5546875" bestFit="1" customWidth="1"/>
    <col min="8" max="8" width="24.109375" bestFit="1" customWidth="1"/>
    <col min="9" max="9" width="21.6640625" bestFit="1" customWidth="1"/>
    <col min="10" max="10" width="11.33203125" bestFit="1" customWidth="1"/>
    <col min="11" max="11" width="25.88671875" bestFit="1" customWidth="1"/>
    <col min="12" max="12" width="46.77734375" bestFit="1" customWidth="1"/>
    <col min="13" max="13" width="20" bestFit="1" customWidth="1"/>
    <col min="14" max="14" width="36.6640625" bestFit="1" customWidth="1"/>
    <col min="15" max="15" width="21" bestFit="1" customWidth="1"/>
    <col min="16" max="16" width="26.109375" bestFit="1" customWidth="1"/>
    <col min="17" max="17" width="24.5546875" bestFit="1" customWidth="1"/>
    <col min="18" max="18" width="29.109375" bestFit="1" customWidth="1"/>
    <col min="19" max="19" width="40.109375" bestFit="1" customWidth="1"/>
    <col min="20" max="20" width="30.44140625" bestFit="1" customWidth="1"/>
    <col min="21" max="21" width="69.5546875" bestFit="1" customWidth="1"/>
    <col min="22" max="22" width="69.33203125" bestFit="1" customWidth="1"/>
    <col min="23" max="23" width="70.21875" bestFit="1" customWidth="1"/>
    <col min="24" max="24" width="69.6640625" bestFit="1" customWidth="1"/>
    <col min="25" max="25" width="17.77734375" bestFit="1" customWidth="1"/>
    <col min="26" max="26" width="46.88671875" bestFit="1" customWidth="1"/>
    <col min="27" max="27" width="33.77734375" bestFit="1" customWidth="1"/>
    <col min="28" max="28" width="255.77734375" bestFit="1" customWidth="1"/>
    <col min="29" max="29" width="50.6640625" bestFit="1" customWidth="1"/>
    <col min="30" max="30" width="60.6640625" bestFit="1" customWidth="1"/>
    <col min="31" max="31" width="21.77734375" bestFit="1" customWidth="1"/>
    <col min="32" max="32" width="27.6640625" bestFit="1" customWidth="1"/>
    <col min="33" max="33" width="38.44140625" bestFit="1" customWidth="1"/>
    <col min="34" max="34" width="37.44140625" style="11" bestFit="1" customWidth="1"/>
    <col min="35" max="35" width="35.6640625" style="12" bestFit="1" customWidth="1"/>
    <col min="36" max="36" width="76" style="12" bestFit="1" customWidth="1"/>
    <col min="37" max="39" width="18.88671875" customWidth="1"/>
  </cols>
  <sheetData>
    <row r="1" spans="1:36" s="5" customFormat="1" ht="22.5" customHeight="1" x14ac:dyDescent="0.25">
      <c r="A1" s="13" t="s">
        <v>0</v>
      </c>
      <c r="B1" s="13" t="s">
        <v>1</v>
      </c>
      <c r="C1" s="14" t="s">
        <v>2</v>
      </c>
      <c r="D1" s="14" t="s">
        <v>3</v>
      </c>
      <c r="E1" s="14" t="s">
        <v>4</v>
      </c>
      <c r="F1" s="14" t="s">
        <v>5</v>
      </c>
      <c r="G1" s="14" t="s">
        <v>6</v>
      </c>
      <c r="H1" s="14" t="s">
        <v>7</v>
      </c>
      <c r="I1" s="14" t="s">
        <v>118</v>
      </c>
      <c r="J1" s="14" t="s">
        <v>119</v>
      </c>
      <c r="K1" s="14" t="s">
        <v>120</v>
      </c>
      <c r="L1" s="13" t="s">
        <v>132</v>
      </c>
      <c r="M1" s="13" t="s">
        <v>133</v>
      </c>
      <c r="N1" s="13" t="s">
        <v>134</v>
      </c>
      <c r="O1" s="14" t="s">
        <v>8</v>
      </c>
      <c r="P1" s="14" t="s">
        <v>9</v>
      </c>
      <c r="Q1" s="14" t="s">
        <v>10</v>
      </c>
      <c r="R1" s="13" t="s">
        <v>135</v>
      </c>
      <c r="S1" s="13" t="s">
        <v>136</v>
      </c>
      <c r="T1" s="14" t="s">
        <v>11</v>
      </c>
      <c r="U1" s="14" t="s">
        <v>12</v>
      </c>
      <c r="V1" s="13" t="s">
        <v>137</v>
      </c>
      <c r="W1" s="13" t="s">
        <v>138</v>
      </c>
      <c r="X1" s="14" t="s">
        <v>13</v>
      </c>
      <c r="Y1" s="13" t="s">
        <v>139</v>
      </c>
      <c r="Z1" s="14" t="s">
        <v>14</v>
      </c>
      <c r="AA1" s="13" t="s">
        <v>140</v>
      </c>
      <c r="AB1" s="13" t="s">
        <v>141</v>
      </c>
      <c r="AC1" s="14" t="s">
        <v>121</v>
      </c>
      <c r="AD1" s="14" t="s">
        <v>122</v>
      </c>
      <c r="AE1" s="14" t="s">
        <v>123</v>
      </c>
      <c r="AF1" s="14" t="s">
        <v>124</v>
      </c>
      <c r="AG1" s="14" t="s">
        <v>125</v>
      </c>
      <c r="AH1" s="11" t="s">
        <v>48</v>
      </c>
      <c r="AI1" s="12" t="s">
        <v>49</v>
      </c>
      <c r="AJ1" s="12" t="s">
        <v>50</v>
      </c>
    </row>
    <row r="2" spans="1:36" ht="22.5" customHeight="1" x14ac:dyDescent="0.25">
      <c r="A2" s="1">
        <v>46238.96527310185</v>
      </c>
      <c r="B2" s="2">
        <v>0</v>
      </c>
      <c r="C2" s="3" t="s">
        <v>15</v>
      </c>
      <c r="D2" s="3" t="s">
        <v>16</v>
      </c>
      <c r="E2" s="3" t="s">
        <v>17</v>
      </c>
      <c r="F2" s="3" t="s">
        <v>18</v>
      </c>
      <c r="G2" s="3" t="s">
        <v>18</v>
      </c>
      <c r="H2" s="3"/>
      <c r="I2" s="3" t="s">
        <v>19</v>
      </c>
      <c r="J2" s="3" t="s">
        <v>20</v>
      </c>
      <c r="K2" s="3" t="s">
        <v>21</v>
      </c>
      <c r="L2" s="3" t="s">
        <v>22</v>
      </c>
      <c r="M2" s="3" t="s">
        <v>21</v>
      </c>
      <c r="N2" s="3" t="s">
        <v>23</v>
      </c>
      <c r="O2" s="3" t="s">
        <v>21</v>
      </c>
      <c r="P2" s="3" t="s">
        <v>24</v>
      </c>
      <c r="Q2" s="3" t="s">
        <v>23</v>
      </c>
      <c r="R2" s="3" t="s">
        <v>23</v>
      </c>
      <c r="S2" s="3" t="s">
        <v>25</v>
      </c>
      <c r="T2" s="3">
        <v>4</v>
      </c>
      <c r="U2" s="4" t="s">
        <v>26</v>
      </c>
      <c r="V2" s="4" t="s">
        <v>27</v>
      </c>
      <c r="W2" s="4" t="s">
        <v>28</v>
      </c>
      <c r="X2" s="4" t="s">
        <v>29</v>
      </c>
      <c r="Y2" s="3" t="s">
        <v>30</v>
      </c>
      <c r="Z2" s="3" t="s">
        <v>30</v>
      </c>
      <c r="AA2" s="3">
        <v>6</v>
      </c>
      <c r="AB2" s="3" t="s">
        <v>31</v>
      </c>
      <c r="AC2" s="3"/>
      <c r="AD2" s="3"/>
      <c r="AE2" s="3"/>
      <c r="AF2" s="3"/>
      <c r="AG2" s="3"/>
      <c r="AH2" s="15" t="str">
        <f>IFERROR(VLOOKUP(Form_Responses[[#This Row],[Nombre Técnico]],'masa de trabajo'!$B:$C,2,0),"")</f>
        <v>SI</v>
      </c>
      <c r="AI2" s="12" t="str">
        <f>VLOOKUP(Form_Responses[[#This Row],[Nombre Técnico]],'masa de trabajo'!$B:$E,3,0)</f>
        <v>SI</v>
      </c>
      <c r="AJ2" s="12" t="str">
        <f>VLOOKUP(Form_Responses[[#This Row],[Nombre Técnico]],'masa de trabajo'!$B:$E,4,0)</f>
        <v>-</v>
      </c>
    </row>
    <row r="3" spans="1:36" ht="22.5" customHeight="1" x14ac:dyDescent="0.25">
      <c r="A3" s="1">
        <v>46241.444909525468</v>
      </c>
      <c r="B3" s="2">
        <v>0</v>
      </c>
      <c r="C3" s="3" t="s">
        <v>32</v>
      </c>
      <c r="D3" s="3" t="s">
        <v>33</v>
      </c>
      <c r="E3" s="3" t="s">
        <v>17</v>
      </c>
      <c r="F3" s="3" t="s">
        <v>18</v>
      </c>
      <c r="G3" s="3" t="s">
        <v>18</v>
      </c>
      <c r="H3" s="3"/>
      <c r="I3" s="3" t="s">
        <v>19</v>
      </c>
      <c r="J3" s="3" t="s">
        <v>20</v>
      </c>
      <c r="K3" s="3" t="s">
        <v>21</v>
      </c>
      <c r="L3" s="3" t="s">
        <v>34</v>
      </c>
      <c r="M3" s="3" t="s">
        <v>21</v>
      </c>
      <c r="N3" s="3" t="s">
        <v>23</v>
      </c>
      <c r="O3" s="3"/>
      <c r="P3" s="3"/>
      <c r="Q3" s="3" t="s">
        <v>23</v>
      </c>
      <c r="R3" s="3" t="s">
        <v>23</v>
      </c>
      <c r="S3" s="3" t="s">
        <v>35</v>
      </c>
      <c r="T3" s="3">
        <v>4</v>
      </c>
      <c r="U3" s="4" t="s">
        <v>36</v>
      </c>
      <c r="V3" s="4" t="s">
        <v>37</v>
      </c>
      <c r="W3" s="3"/>
      <c r="X3" s="4" t="s">
        <v>38</v>
      </c>
      <c r="Y3" s="3" t="s">
        <v>30</v>
      </c>
      <c r="Z3" s="3" t="s">
        <v>30</v>
      </c>
      <c r="AA3" s="3">
        <v>9</v>
      </c>
      <c r="AB3" s="3" t="s">
        <v>39</v>
      </c>
      <c r="AC3" s="3"/>
      <c r="AD3" s="3"/>
      <c r="AE3" s="3"/>
      <c r="AF3" s="3"/>
      <c r="AG3" s="3"/>
      <c r="AH3" s="15" t="str">
        <f>IFERROR(VLOOKUP(Form_Responses[[#This Row],[Nombre Técnico]],'masa de trabajo'!$B:$C,2,0),"")</f>
        <v>SI</v>
      </c>
      <c r="AI3" s="12" t="str">
        <f>VLOOKUP(Form_Responses[[#This Row],[Nombre Técnico]],'masa de trabajo'!$B:$E,3,0)</f>
        <v>SI</v>
      </c>
      <c r="AJ3" s="12" t="str">
        <f>VLOOKUP(Form_Responses[[#This Row],[Nombre Técnico]],'masa de trabajo'!$B:$E,4,0)</f>
        <v>Auque se nota una mejora, se realizara evantualemete seguimiento a los trabajos</v>
      </c>
    </row>
    <row r="4" spans="1:36" ht="22.5" customHeight="1" x14ac:dyDescent="0.25">
      <c r="A4" s="1">
        <v>46241.449800138886</v>
      </c>
      <c r="B4" s="2">
        <v>0</v>
      </c>
      <c r="C4" s="3" t="s">
        <v>40</v>
      </c>
      <c r="D4" s="3" t="s">
        <v>33</v>
      </c>
      <c r="E4" s="3" t="s">
        <v>17</v>
      </c>
      <c r="F4" s="3" t="s">
        <v>18</v>
      </c>
      <c r="G4" s="3" t="s">
        <v>18</v>
      </c>
      <c r="H4" s="3"/>
      <c r="I4" s="3" t="s">
        <v>19</v>
      </c>
      <c r="J4" s="3" t="s">
        <v>41</v>
      </c>
      <c r="K4" s="3" t="s">
        <v>21</v>
      </c>
      <c r="L4" s="3" t="s">
        <v>42</v>
      </c>
      <c r="M4" s="3" t="s">
        <v>21</v>
      </c>
      <c r="N4" s="3" t="s">
        <v>23</v>
      </c>
      <c r="O4" s="3"/>
      <c r="P4" s="3">
        <v>2</v>
      </c>
      <c r="Q4" s="3" t="s">
        <v>23</v>
      </c>
      <c r="R4" s="3" t="s">
        <v>23</v>
      </c>
      <c r="S4" s="3" t="s">
        <v>43</v>
      </c>
      <c r="T4" s="3">
        <v>4</v>
      </c>
      <c r="U4" s="4" t="s">
        <v>44</v>
      </c>
      <c r="V4" s="4" t="s">
        <v>45</v>
      </c>
      <c r="W4" s="3"/>
      <c r="X4" s="4" t="s">
        <v>46</v>
      </c>
      <c r="Y4" s="3" t="s">
        <v>30</v>
      </c>
      <c r="Z4" s="3" t="s">
        <v>30</v>
      </c>
      <c r="AA4" s="3">
        <v>9</v>
      </c>
      <c r="AB4" s="3" t="s">
        <v>47</v>
      </c>
      <c r="AC4" s="3"/>
      <c r="AD4" s="3"/>
      <c r="AE4" s="3"/>
      <c r="AF4" s="3"/>
      <c r="AG4" s="3"/>
      <c r="AH4" s="15" t="str">
        <f>IFERROR(VLOOKUP(Form_Responses[[#This Row],[Nombre Técnico]],'masa de trabajo'!$B:$C,2,0),"")</f>
        <v>SI</v>
      </c>
      <c r="AI4" s="12" t="str">
        <f>VLOOKUP(Form_Responses[[#This Row],[Nombre Técnico]],'masa de trabajo'!$B:$E,3,0)</f>
        <v>SI</v>
      </c>
      <c r="AJ4" s="12" t="str">
        <f>VLOOKUP(Form_Responses[[#This Row],[Nombre Técnico]],'masa de trabajo'!$B:$E,4,0)</f>
        <v>Auque se nota una mejora, se realizara evantualemete seguimiento a los trabajos</v>
      </c>
    </row>
    <row r="5" spans="1:36" ht="15.75" customHeight="1" x14ac:dyDescent="0.25">
      <c r="A5" s="1">
        <v>46243.7506640625</v>
      </c>
      <c r="B5" s="2">
        <v>0</v>
      </c>
      <c r="C5" s="3" t="s">
        <v>51</v>
      </c>
      <c r="D5" s="3" t="s">
        <v>52</v>
      </c>
      <c r="E5" s="3" t="s">
        <v>53</v>
      </c>
      <c r="F5" s="3" t="s">
        <v>18</v>
      </c>
      <c r="G5" s="3" t="s">
        <v>18</v>
      </c>
      <c r="I5" s="3" t="s">
        <v>19</v>
      </c>
      <c r="J5" s="3" t="s">
        <v>54</v>
      </c>
      <c r="K5" s="3" t="s">
        <v>21</v>
      </c>
      <c r="L5" s="3" t="s">
        <v>55</v>
      </c>
      <c r="M5" s="3" t="s">
        <v>23</v>
      </c>
      <c r="N5" s="3" t="s">
        <v>21</v>
      </c>
      <c r="P5" s="3">
        <v>3</v>
      </c>
      <c r="Q5" s="3" t="s">
        <v>23</v>
      </c>
      <c r="R5" s="3" t="s">
        <v>23</v>
      </c>
      <c r="S5" s="3" t="s">
        <v>56</v>
      </c>
      <c r="T5" s="3">
        <v>3</v>
      </c>
      <c r="U5" s="4" t="s">
        <v>57</v>
      </c>
      <c r="V5" s="4" t="s">
        <v>58</v>
      </c>
      <c r="W5" s="4" t="s">
        <v>59</v>
      </c>
      <c r="X5" s="4" t="s">
        <v>60</v>
      </c>
      <c r="Y5" s="3" t="s">
        <v>30</v>
      </c>
      <c r="Z5" s="3" t="s">
        <v>30</v>
      </c>
      <c r="AA5" s="3">
        <v>7</v>
      </c>
      <c r="AB5" s="3" t="s">
        <v>61</v>
      </c>
      <c r="AC5" s="3"/>
      <c r="AD5" s="3"/>
      <c r="AE5" s="3"/>
      <c r="AF5" s="3"/>
      <c r="AG5" s="3"/>
      <c r="AH5" s="15" t="str">
        <f>IFERROR(VLOOKUP(Form_Responses[[#This Row],[Nombre Técnico]],'masa de trabajo'!$B:$C,2,0),"")</f>
        <v>SI</v>
      </c>
      <c r="AI5" s="12" t="str">
        <f>VLOOKUP(Form_Responses[[#This Row],[Nombre Técnico]],'masa de trabajo'!$B:$E,3,0)</f>
        <v>-</v>
      </c>
      <c r="AJ5" s="12" t="str">
        <f>VLOOKUP(Form_Responses[[#This Row],[Nombre Técnico]],'masa de trabajo'!$B:$E,4,0)</f>
        <v>-</v>
      </c>
    </row>
    <row r="6" spans="1:36" ht="15.75" customHeight="1" x14ac:dyDescent="0.25">
      <c r="A6" s="1">
        <v>46244.901713009254</v>
      </c>
      <c r="B6" s="2">
        <v>0</v>
      </c>
      <c r="C6" s="3" t="s">
        <v>62</v>
      </c>
      <c r="D6" s="3" t="s">
        <v>63</v>
      </c>
      <c r="E6" s="3" t="s">
        <v>64</v>
      </c>
      <c r="F6" s="3" t="s">
        <v>18</v>
      </c>
      <c r="G6" s="3" t="s">
        <v>18</v>
      </c>
      <c r="H6" s="3" t="s">
        <v>65</v>
      </c>
      <c r="I6" s="3" t="s">
        <v>19</v>
      </c>
      <c r="J6" s="3" t="s">
        <v>65</v>
      </c>
      <c r="K6" s="3" t="s">
        <v>23</v>
      </c>
      <c r="L6" s="3" t="s">
        <v>66</v>
      </c>
      <c r="M6" s="3" t="s">
        <v>23</v>
      </c>
      <c r="N6" s="3" t="s">
        <v>23</v>
      </c>
      <c r="O6" s="3" t="s">
        <v>21</v>
      </c>
      <c r="P6" s="3">
        <v>1</v>
      </c>
      <c r="Q6" s="3" t="s">
        <v>23</v>
      </c>
      <c r="R6" s="3" t="s">
        <v>23</v>
      </c>
      <c r="S6" s="3" t="s">
        <v>67</v>
      </c>
      <c r="T6" s="3">
        <v>4</v>
      </c>
      <c r="U6" s="4" t="s">
        <v>68</v>
      </c>
      <c r="V6" s="4" t="s">
        <v>69</v>
      </c>
      <c r="W6" s="4" t="s">
        <v>70</v>
      </c>
      <c r="X6" s="4" t="s">
        <v>71</v>
      </c>
      <c r="Y6" s="3" t="s">
        <v>72</v>
      </c>
      <c r="Z6" s="3" t="s">
        <v>72</v>
      </c>
      <c r="AA6" s="3">
        <v>7</v>
      </c>
      <c r="AB6" s="3" t="s">
        <v>73</v>
      </c>
      <c r="AC6" s="3"/>
      <c r="AD6" s="3"/>
      <c r="AE6" s="3"/>
      <c r="AF6" s="3"/>
      <c r="AG6" s="3"/>
      <c r="AH6" s="15" t="str">
        <f>IFERROR(VLOOKUP(Form_Responses[[#This Row],[Nombre Técnico]],'masa de trabajo'!$B:$C,2,0),"")</f>
        <v>SI</v>
      </c>
      <c r="AI6" s="12" t="str">
        <f>VLOOKUP(Form_Responses[[#This Row],[Nombre Técnico]],'masa de trabajo'!$B:$E,3,0)</f>
        <v>SI</v>
      </c>
      <c r="AJ6" s="12" t="str">
        <f>VLOOKUP(Form_Responses[[#This Row],[Nombre Técnico]],'masa de trabajo'!$B:$E,4,0)</f>
        <v>-</v>
      </c>
    </row>
    <row r="7" spans="1:36" ht="15.75" customHeight="1" x14ac:dyDescent="0.25">
      <c r="A7" s="1">
        <v>46245.540172881942</v>
      </c>
      <c r="B7" s="2">
        <v>0</v>
      </c>
      <c r="C7" s="3" t="s">
        <v>74</v>
      </c>
      <c r="D7" s="3" t="s">
        <v>75</v>
      </c>
      <c r="E7" s="3" t="s">
        <v>53</v>
      </c>
      <c r="F7" s="3" t="s">
        <v>18</v>
      </c>
      <c r="G7" s="3" t="s">
        <v>18</v>
      </c>
      <c r="I7" s="3" t="s">
        <v>19</v>
      </c>
      <c r="J7" s="3" t="s">
        <v>41</v>
      </c>
      <c r="K7" s="3" t="s">
        <v>21</v>
      </c>
      <c r="L7" s="3" t="s">
        <v>76</v>
      </c>
      <c r="N7" s="3" t="s">
        <v>23</v>
      </c>
      <c r="Q7" s="3" t="s">
        <v>77</v>
      </c>
      <c r="R7" s="3" t="s">
        <v>23</v>
      </c>
      <c r="S7" s="3" t="s">
        <v>78</v>
      </c>
      <c r="T7" s="3">
        <v>3</v>
      </c>
      <c r="U7" s="4" t="s">
        <v>79</v>
      </c>
      <c r="V7" s="4" t="s">
        <v>80</v>
      </c>
      <c r="X7" s="4" t="s">
        <v>81</v>
      </c>
      <c r="Y7" s="3" t="s">
        <v>30</v>
      </c>
      <c r="Z7" s="3" t="s">
        <v>72</v>
      </c>
      <c r="AA7" s="3">
        <v>5</v>
      </c>
      <c r="AB7" s="3" t="s">
        <v>82</v>
      </c>
      <c r="AC7" s="3"/>
      <c r="AD7" s="3"/>
      <c r="AE7" s="3"/>
      <c r="AF7" s="3"/>
      <c r="AG7" s="3"/>
      <c r="AH7" s="15" t="str">
        <f>IFERROR(VLOOKUP(Form_Responses[[#This Row],[Nombre Técnico]],'masa de trabajo'!$B:$C,2,0),"")</f>
        <v>SI</v>
      </c>
      <c r="AI7" s="12" t="str">
        <f>VLOOKUP(Form_Responses[[#This Row],[Nombre Técnico]],'masa de trabajo'!$B:$E,3,0)</f>
        <v>-</v>
      </c>
      <c r="AJ7" s="12" t="str">
        <f>VLOOKUP(Form_Responses[[#This Row],[Nombre Técnico]],'masa de trabajo'!$B:$E,4,0)</f>
        <v>-</v>
      </c>
    </row>
    <row r="8" spans="1:36" ht="15.75" customHeight="1" x14ac:dyDescent="0.25">
      <c r="A8" s="1">
        <v>46245.569448587965</v>
      </c>
      <c r="B8" s="2">
        <v>0</v>
      </c>
      <c r="C8" s="3" t="s">
        <v>83</v>
      </c>
      <c r="D8" s="3" t="s">
        <v>84</v>
      </c>
      <c r="E8" s="3" t="s">
        <v>53</v>
      </c>
      <c r="F8" s="3" t="s">
        <v>18</v>
      </c>
      <c r="G8" s="3" t="s">
        <v>18</v>
      </c>
      <c r="I8" s="3" t="s">
        <v>19</v>
      </c>
      <c r="J8" s="3" t="s">
        <v>41</v>
      </c>
      <c r="K8" s="3" t="s">
        <v>21</v>
      </c>
      <c r="L8" s="3" t="s">
        <v>85</v>
      </c>
      <c r="M8" s="3" t="s">
        <v>21</v>
      </c>
      <c r="N8" s="3" t="s">
        <v>21</v>
      </c>
      <c r="P8" s="3">
        <v>2</v>
      </c>
      <c r="Q8" s="3" t="s">
        <v>23</v>
      </c>
      <c r="R8" s="3" t="s">
        <v>23</v>
      </c>
      <c r="S8" s="3" t="s">
        <v>86</v>
      </c>
      <c r="T8" s="3">
        <v>4</v>
      </c>
      <c r="U8" s="4" t="s">
        <v>87</v>
      </c>
      <c r="V8" s="4" t="s">
        <v>88</v>
      </c>
      <c r="W8" s="4" t="s">
        <v>89</v>
      </c>
      <c r="X8" s="4" t="s">
        <v>90</v>
      </c>
      <c r="Y8" s="3" t="s">
        <v>30</v>
      </c>
      <c r="Z8" s="3" t="s">
        <v>30</v>
      </c>
      <c r="AA8" s="3">
        <v>9</v>
      </c>
      <c r="AB8" s="3" t="s">
        <v>91</v>
      </c>
      <c r="AC8" s="3"/>
      <c r="AD8" s="3"/>
      <c r="AE8" s="3"/>
      <c r="AF8" s="3"/>
      <c r="AG8" s="3"/>
      <c r="AH8" s="15" t="str">
        <f>IFERROR(VLOOKUP(Form_Responses[[#This Row],[Nombre Técnico]],'masa de trabajo'!$B:$C,2,0),"")</f>
        <v>SI</v>
      </c>
      <c r="AI8" s="12" t="str">
        <f>VLOOKUP(Form_Responses[[#This Row],[Nombre Técnico]],'masa de trabajo'!$B:$E,3,0)</f>
        <v>SI</v>
      </c>
      <c r="AJ8" s="12" t="str">
        <f>VLOOKUP(Form_Responses[[#This Row],[Nombre Técnico]],'masa de trabajo'!$B:$E,4,0)</f>
        <v>-</v>
      </c>
    </row>
    <row r="9" spans="1:36" ht="15.75" customHeight="1" x14ac:dyDescent="0.25">
      <c r="A9" s="1">
        <v>46246.746229016208</v>
      </c>
      <c r="B9" s="2">
        <v>0</v>
      </c>
      <c r="C9" s="3" t="s">
        <v>92</v>
      </c>
      <c r="D9" s="3" t="s">
        <v>52</v>
      </c>
      <c r="E9" s="3" t="s">
        <v>53</v>
      </c>
      <c r="F9" s="3" t="s">
        <v>18</v>
      </c>
      <c r="G9" s="3" t="s">
        <v>18</v>
      </c>
      <c r="I9" s="3" t="s">
        <v>19</v>
      </c>
      <c r="J9" s="3" t="s">
        <v>41</v>
      </c>
      <c r="K9" s="3" t="s">
        <v>21</v>
      </c>
      <c r="L9" s="3" t="s">
        <v>93</v>
      </c>
      <c r="M9" s="3" t="s">
        <v>23</v>
      </c>
      <c r="N9" s="3" t="s">
        <v>23</v>
      </c>
      <c r="Q9" s="3" t="s">
        <v>23</v>
      </c>
      <c r="R9" s="3" t="s">
        <v>23</v>
      </c>
      <c r="S9" s="3" t="s">
        <v>94</v>
      </c>
      <c r="T9" s="3">
        <v>4</v>
      </c>
      <c r="U9" s="4" t="s">
        <v>95</v>
      </c>
      <c r="V9" s="4" t="s">
        <v>96</v>
      </c>
      <c r="W9" s="4" t="s">
        <v>97</v>
      </c>
      <c r="X9" s="4" t="s">
        <v>98</v>
      </c>
      <c r="Y9" s="3" t="s">
        <v>30</v>
      </c>
      <c r="Z9" s="3" t="s">
        <v>30</v>
      </c>
      <c r="AA9" s="3">
        <v>8</v>
      </c>
      <c r="AB9" s="3" t="s">
        <v>99</v>
      </c>
      <c r="AC9" s="3"/>
      <c r="AD9" s="3"/>
      <c r="AE9" s="3"/>
      <c r="AF9" s="3"/>
      <c r="AG9" s="3"/>
      <c r="AH9" s="15" t="str">
        <f>IFERROR(VLOOKUP(Form_Responses[[#This Row],[Nombre Técnico]],'masa de trabajo'!$B:$C,2,0),"")</f>
        <v>SI</v>
      </c>
      <c r="AI9" s="12" t="str">
        <f>VLOOKUP(Form_Responses[[#This Row],[Nombre Técnico]],'masa de trabajo'!$B:$E,3,0)</f>
        <v>-</v>
      </c>
      <c r="AJ9" s="12" t="str">
        <f>VLOOKUP(Form_Responses[[#This Row],[Nombre Técnico]],'masa de trabajo'!$B:$E,4,0)</f>
        <v>-</v>
      </c>
    </row>
    <row r="10" spans="1:36" ht="15.75" customHeight="1" x14ac:dyDescent="0.25">
      <c r="A10" s="1">
        <v>46247.535424652779</v>
      </c>
      <c r="B10" s="2">
        <v>0</v>
      </c>
      <c r="C10" s="3" t="s">
        <v>100</v>
      </c>
      <c r="D10" s="3" t="s">
        <v>101</v>
      </c>
      <c r="E10" s="3" t="s">
        <v>17</v>
      </c>
      <c r="F10" s="3" t="s">
        <v>18</v>
      </c>
      <c r="G10" s="3" t="s">
        <v>18</v>
      </c>
      <c r="I10" s="3" t="s">
        <v>19</v>
      </c>
      <c r="J10" s="3" t="s">
        <v>20</v>
      </c>
      <c r="K10" s="3" t="s">
        <v>21</v>
      </c>
      <c r="L10" s="3" t="s">
        <v>102</v>
      </c>
      <c r="N10" s="3" t="s">
        <v>21</v>
      </c>
      <c r="P10" s="3">
        <v>2</v>
      </c>
      <c r="Q10" s="3" t="s">
        <v>23</v>
      </c>
      <c r="R10" s="3" t="s">
        <v>23</v>
      </c>
      <c r="S10" s="3" t="s">
        <v>103</v>
      </c>
      <c r="T10" s="3">
        <v>4</v>
      </c>
      <c r="U10" s="4" t="s">
        <v>104</v>
      </c>
      <c r="V10" s="4" t="s">
        <v>105</v>
      </c>
      <c r="X10" s="4" t="s">
        <v>106</v>
      </c>
      <c r="Y10" s="3" t="s">
        <v>30</v>
      </c>
      <c r="Z10" s="3" t="s">
        <v>30</v>
      </c>
      <c r="AA10" s="3">
        <v>6</v>
      </c>
      <c r="AB10" s="3" t="s">
        <v>107</v>
      </c>
      <c r="AC10" s="3"/>
      <c r="AD10" s="3"/>
      <c r="AE10" s="3"/>
      <c r="AF10" s="3"/>
      <c r="AG10" s="3"/>
      <c r="AH10" s="15" t="str">
        <f>IFERROR(VLOOKUP(Form_Responses[[#This Row],[Nombre Técnico]],'masa de trabajo'!$B:$C,2,0),"")</f>
        <v>SI</v>
      </c>
      <c r="AI10" s="12" t="str">
        <f>VLOOKUP(Form_Responses[[#This Row],[Nombre Técnico]],'masa de trabajo'!$B:$E,3,0)</f>
        <v>SI</v>
      </c>
      <c r="AJ10" s="12" t="str">
        <f>VLOOKUP(Form_Responses[[#This Row],[Nombre Técnico]],'masa de trabajo'!$B:$E,4,0)</f>
        <v>-</v>
      </c>
    </row>
    <row r="11" spans="1:36" ht="15.75" customHeight="1" x14ac:dyDescent="0.25">
      <c r="A11" s="1">
        <v>46247.71862049769</v>
      </c>
      <c r="B11" s="2">
        <v>0</v>
      </c>
      <c r="C11" s="3" t="s">
        <v>108</v>
      </c>
      <c r="D11" s="3" t="s">
        <v>109</v>
      </c>
      <c r="E11" s="3" t="s">
        <v>53</v>
      </c>
      <c r="F11" s="3" t="s">
        <v>18</v>
      </c>
      <c r="G11" s="3" t="s">
        <v>18</v>
      </c>
      <c r="I11" s="3" t="s">
        <v>19</v>
      </c>
      <c r="J11" s="3" t="s">
        <v>41</v>
      </c>
      <c r="K11" s="3" t="s">
        <v>21</v>
      </c>
      <c r="L11" s="3" t="s">
        <v>110</v>
      </c>
      <c r="M11" s="3" t="s">
        <v>23</v>
      </c>
      <c r="N11" s="3" t="s">
        <v>21</v>
      </c>
      <c r="Q11" s="3" t="s">
        <v>23</v>
      </c>
      <c r="R11" s="3" t="s">
        <v>23</v>
      </c>
      <c r="S11" s="3" t="s">
        <v>111</v>
      </c>
      <c r="T11" s="3">
        <v>4</v>
      </c>
      <c r="U11" s="4" t="s">
        <v>112</v>
      </c>
      <c r="V11" s="4" t="s">
        <v>113</v>
      </c>
      <c r="W11" s="4" t="s">
        <v>114</v>
      </c>
      <c r="X11" s="4" t="s">
        <v>115</v>
      </c>
      <c r="Y11" s="3" t="s">
        <v>30</v>
      </c>
      <c r="Z11" s="3" t="s">
        <v>30</v>
      </c>
      <c r="AA11" s="3">
        <v>10</v>
      </c>
      <c r="AB11" s="3" t="s">
        <v>116</v>
      </c>
      <c r="AC11" s="3"/>
      <c r="AD11" s="3"/>
      <c r="AE11" s="3"/>
      <c r="AF11" s="3"/>
      <c r="AG11" s="3"/>
      <c r="AH11" s="15" t="str">
        <f>IFERROR(VLOOKUP(Form_Responses[[#This Row],[Nombre Técnico]],'masa de trabajo'!$B:$C,2,0),"")</f>
        <v>-</v>
      </c>
      <c r="AI11" s="12" t="str">
        <f>VLOOKUP(Form_Responses[[#This Row],[Nombre Técnico]],'masa de trabajo'!$B:$E,3,0)</f>
        <v>-</v>
      </c>
      <c r="AJ11" s="12" t="str">
        <f>VLOOKUP(Form_Responses[[#This Row],[Nombre Técnico]],'masa de trabajo'!$B:$E,4,0)</f>
        <v>-</v>
      </c>
    </row>
    <row r="12" spans="1:36" ht="15.75" customHeight="1" x14ac:dyDescent="0.25">
      <c r="A12" s="1">
        <v>46248.497756516204</v>
      </c>
      <c r="B12" s="10">
        <v>8</v>
      </c>
      <c r="C12" s="3" t="s">
        <v>126</v>
      </c>
      <c r="D12" s="3" t="s">
        <v>127</v>
      </c>
      <c r="E12" s="3" t="s">
        <v>17</v>
      </c>
      <c r="F12" s="3" t="s">
        <v>18</v>
      </c>
      <c r="G12" s="3" t="s">
        <v>18</v>
      </c>
      <c r="I12" s="3" t="s">
        <v>128</v>
      </c>
      <c r="J12" s="3" t="s">
        <v>41</v>
      </c>
      <c r="K12" s="3" t="s">
        <v>23</v>
      </c>
      <c r="L12" s="3" t="s">
        <v>129</v>
      </c>
      <c r="M12" s="3" t="s">
        <v>23</v>
      </c>
      <c r="N12" s="3" t="s">
        <v>23</v>
      </c>
      <c r="Q12" s="3" t="s">
        <v>23</v>
      </c>
      <c r="R12" s="3" t="s">
        <v>23</v>
      </c>
      <c r="S12" s="3" t="s">
        <v>130</v>
      </c>
      <c r="T12" s="3">
        <v>4</v>
      </c>
      <c r="AB12" s="3" t="s">
        <v>131</v>
      </c>
      <c r="AC12" s="3" t="s">
        <v>23</v>
      </c>
      <c r="AD12" s="3" t="s">
        <v>23</v>
      </c>
      <c r="AE12" s="3" t="s">
        <v>21</v>
      </c>
      <c r="AF12" s="3" t="s">
        <v>23</v>
      </c>
      <c r="AG12" s="3" t="s">
        <v>21</v>
      </c>
      <c r="AH12" s="15" t="str">
        <f>IFERROR(VLOOKUP(Form_Responses[[#This Row],[Nombre Técnico]],'masa de trabajo'!$B:$C,2,0),"")</f>
        <v>SI</v>
      </c>
      <c r="AI12" s="12" t="str">
        <f>VLOOKUP(Form_Responses[[#This Row],[Nombre Técnico]],'masa de trabajo'!$B:$E,3,0)</f>
        <v>SI</v>
      </c>
      <c r="AJ12" s="12" t="str">
        <f>VLOOKUP(Form_Responses[[#This Row],[Nombre Técnico]],'masa de trabajo'!$B:$E,4,0)</f>
        <v>-</v>
      </c>
    </row>
    <row r="13" spans="1:36" ht="15.75" customHeight="1" x14ac:dyDescent="0.25">
      <c r="A13" s="1">
        <v>46251.615196585648</v>
      </c>
      <c r="B13" s="10">
        <v>7</v>
      </c>
      <c r="C13" s="3" t="s">
        <v>142</v>
      </c>
      <c r="D13" s="3" t="s">
        <v>143</v>
      </c>
      <c r="E13" s="3" t="s">
        <v>53</v>
      </c>
      <c r="F13" s="3" t="s">
        <v>18</v>
      </c>
      <c r="G13" s="3" t="s">
        <v>18</v>
      </c>
      <c r="I13" s="3" t="s">
        <v>128</v>
      </c>
      <c r="J13" s="3" t="s">
        <v>41</v>
      </c>
      <c r="K13" s="3" t="s">
        <v>23</v>
      </c>
      <c r="L13" s="3" t="s">
        <v>144</v>
      </c>
      <c r="M13" s="3" t="s">
        <v>21</v>
      </c>
      <c r="N13" s="3" t="s">
        <v>23</v>
      </c>
      <c r="Q13" s="3" t="s">
        <v>23</v>
      </c>
      <c r="R13" s="3" t="s">
        <v>23</v>
      </c>
      <c r="S13" s="3" t="s">
        <v>145</v>
      </c>
      <c r="T13" s="3">
        <v>4</v>
      </c>
      <c r="U13" s="4" t="s">
        <v>146</v>
      </c>
      <c r="V13" s="4" t="s">
        <v>147</v>
      </c>
      <c r="W13" s="4" t="s">
        <v>148</v>
      </c>
      <c r="X13" s="4" t="s">
        <v>149</v>
      </c>
      <c r="Y13" s="3" t="s">
        <v>30</v>
      </c>
      <c r="Z13" s="3" t="s">
        <v>30</v>
      </c>
      <c r="AA13" s="3">
        <v>8</v>
      </c>
      <c r="AB13" s="3" t="s">
        <v>150</v>
      </c>
      <c r="AD13" s="3" t="s">
        <v>23</v>
      </c>
      <c r="AE13" s="3" t="s">
        <v>21</v>
      </c>
      <c r="AG13" s="3" t="s">
        <v>21</v>
      </c>
      <c r="AH13" s="15" t="str">
        <f>IFERROR(VLOOKUP(Form_Responses[[#This Row],[Nombre Técnico]],'masa de trabajo'!$B:$C,2,0),"")</f>
        <v>-</v>
      </c>
      <c r="AI13" s="12" t="str">
        <f>VLOOKUP(Form_Responses[[#This Row],[Nombre Técnico]],'masa de trabajo'!$B:$E,3,0)</f>
        <v>-</v>
      </c>
      <c r="AJ13" s="12" t="str">
        <f>VLOOKUP(Form_Responses[[#This Row],[Nombre Técnico]],'masa de trabajo'!$B:$E,4,0)</f>
        <v>-</v>
      </c>
    </row>
    <row r="14" spans="1:36" ht="15.75" customHeight="1" x14ac:dyDescent="0.25">
      <c r="A14" s="1">
        <v>46251.636683425924</v>
      </c>
      <c r="B14" s="10">
        <v>1</v>
      </c>
      <c r="C14" s="3" t="s">
        <v>151</v>
      </c>
      <c r="D14" s="3" t="s">
        <v>143</v>
      </c>
      <c r="E14" s="3" t="s">
        <v>53</v>
      </c>
      <c r="F14" s="3" t="s">
        <v>18</v>
      </c>
      <c r="G14" s="3" t="s">
        <v>77</v>
      </c>
      <c r="I14" s="3" t="s">
        <v>128</v>
      </c>
      <c r="J14" s="3" t="s">
        <v>41</v>
      </c>
      <c r="K14" s="3" t="s">
        <v>21</v>
      </c>
      <c r="L14" s="3" t="s">
        <v>152</v>
      </c>
      <c r="M14" s="3" t="s">
        <v>21</v>
      </c>
      <c r="W14" s="4" t="s">
        <v>153</v>
      </c>
      <c r="X14" s="4" t="s">
        <v>154</v>
      </c>
      <c r="Y14" s="3" t="s">
        <v>72</v>
      </c>
      <c r="AA14" s="3">
        <v>7</v>
      </c>
      <c r="AB14" s="3" t="s">
        <v>155</v>
      </c>
      <c r="AD14" s="3" t="s">
        <v>23</v>
      </c>
      <c r="AE14" s="3" t="s">
        <v>21</v>
      </c>
      <c r="AG14" s="3" t="s">
        <v>21</v>
      </c>
      <c r="AH14" s="15" t="str">
        <f>IFERROR(VLOOKUP(Form_Responses[[#This Row],[Nombre Técnico]],'masa de trabajo'!$B:$C,2,0),"")</f>
        <v>-</v>
      </c>
      <c r="AI14" s="12" t="str">
        <f>VLOOKUP(Form_Responses[[#This Row],[Nombre Técnico]],'masa de trabajo'!$B:$E,3,0)</f>
        <v>-</v>
      </c>
      <c r="AJ14" s="12" t="str">
        <f>VLOOKUP(Form_Responses[[#This Row],[Nombre Técnico]],'masa de trabajo'!$B:$E,4,0)</f>
        <v>-</v>
      </c>
    </row>
    <row r="15" spans="1:36" ht="15.75" customHeight="1" x14ac:dyDescent="0.25">
      <c r="A15" s="1">
        <v>46252.401138136571</v>
      </c>
      <c r="B15" s="10">
        <v>9</v>
      </c>
      <c r="C15" s="3" t="s">
        <v>156</v>
      </c>
      <c r="D15" s="3" t="s">
        <v>157</v>
      </c>
      <c r="E15" s="3" t="s">
        <v>17</v>
      </c>
      <c r="F15" s="3" t="s">
        <v>18</v>
      </c>
      <c r="G15" s="3" t="s">
        <v>18</v>
      </c>
      <c r="I15" s="3" t="s">
        <v>19</v>
      </c>
      <c r="J15" s="3" t="s">
        <v>20</v>
      </c>
      <c r="K15" s="3" t="s">
        <v>23</v>
      </c>
      <c r="L15" s="3" t="s">
        <v>158</v>
      </c>
      <c r="N15" s="3" t="s">
        <v>23</v>
      </c>
      <c r="Q15" s="3" t="s">
        <v>23</v>
      </c>
      <c r="R15" s="3" t="s">
        <v>23</v>
      </c>
      <c r="S15" s="3" t="s">
        <v>159</v>
      </c>
      <c r="T15" s="3">
        <v>4</v>
      </c>
      <c r="U15" s="4" t="s">
        <v>160</v>
      </c>
      <c r="V15" s="4" t="s">
        <v>161</v>
      </c>
      <c r="X15" s="4" t="s">
        <v>162</v>
      </c>
      <c r="Y15" s="3" t="s">
        <v>30</v>
      </c>
      <c r="Z15" s="3" t="s">
        <v>30</v>
      </c>
      <c r="AA15" s="3">
        <v>7</v>
      </c>
      <c r="AB15" s="3" t="s">
        <v>163</v>
      </c>
      <c r="AC15" s="3" t="s">
        <v>23</v>
      </c>
      <c r="AD15" s="3" t="s">
        <v>23</v>
      </c>
      <c r="AE15" s="3" t="s">
        <v>21</v>
      </c>
      <c r="AF15" s="3" t="s">
        <v>23</v>
      </c>
      <c r="AG15" s="3" t="s">
        <v>21</v>
      </c>
      <c r="AH15" s="15" t="str">
        <f>IFERROR(VLOOKUP(Form_Responses[[#This Row],[Nombre Técnico]],'masa de trabajo'!$B:$C,2,0),"")</f>
        <v>-</v>
      </c>
      <c r="AI15" s="12" t="str">
        <f>VLOOKUP(Form_Responses[[#This Row],[Nombre Técnico]],'masa de trabajo'!$B:$E,3,0)</f>
        <v>-</v>
      </c>
      <c r="AJ15" s="12" t="str">
        <f>VLOOKUP(Form_Responses[[#This Row],[Nombre Técnico]],'masa de trabajo'!$B:$E,4,0)</f>
        <v>-</v>
      </c>
    </row>
    <row r="16" spans="1:36" ht="15.75" customHeight="1" x14ac:dyDescent="0.25">
      <c r="A16" s="1">
        <v>46252.407164965276</v>
      </c>
      <c r="B16" s="10">
        <v>7</v>
      </c>
      <c r="C16" s="3" t="s">
        <v>164</v>
      </c>
      <c r="D16" s="3" t="s">
        <v>165</v>
      </c>
      <c r="E16" s="3" t="s">
        <v>17</v>
      </c>
      <c r="F16" s="3" t="s">
        <v>77</v>
      </c>
      <c r="G16" s="3" t="s">
        <v>18</v>
      </c>
      <c r="I16" s="3" t="s">
        <v>19</v>
      </c>
      <c r="J16" s="3" t="s">
        <v>20</v>
      </c>
      <c r="K16" s="3" t="s">
        <v>23</v>
      </c>
      <c r="L16" s="3" t="s">
        <v>166</v>
      </c>
      <c r="M16" s="3" t="s">
        <v>23</v>
      </c>
      <c r="N16" s="3" t="s">
        <v>23</v>
      </c>
      <c r="R16" s="3" t="s">
        <v>23</v>
      </c>
      <c r="S16" s="3" t="s">
        <v>167</v>
      </c>
      <c r="T16" s="3">
        <v>3</v>
      </c>
      <c r="U16" s="4" t="s">
        <v>168</v>
      </c>
      <c r="V16" s="4" t="s">
        <v>169</v>
      </c>
      <c r="W16" s="4" t="s">
        <v>170</v>
      </c>
      <c r="X16" s="4" t="s">
        <v>171</v>
      </c>
      <c r="Y16" s="3" t="s">
        <v>72</v>
      </c>
      <c r="Z16" s="3" t="s">
        <v>72</v>
      </c>
      <c r="AA16" s="3">
        <v>4</v>
      </c>
      <c r="AB16" s="3" t="s">
        <v>172</v>
      </c>
      <c r="AC16" s="3" t="s">
        <v>23</v>
      </c>
      <c r="AD16" s="3" t="s">
        <v>23</v>
      </c>
      <c r="AE16" s="3" t="s">
        <v>21</v>
      </c>
      <c r="AF16" s="3" t="s">
        <v>23</v>
      </c>
      <c r="AG16" s="3" t="s">
        <v>21</v>
      </c>
      <c r="AH16" s="15" t="str">
        <f>IFERROR(VLOOKUP(Form_Responses[[#This Row],[Nombre Técnico]],'masa de trabajo'!$B:$C,2,0),"")</f>
        <v>-</v>
      </c>
      <c r="AI16" s="12" t="str">
        <f>VLOOKUP(Form_Responses[[#This Row],[Nombre Técnico]],'masa de trabajo'!$B:$E,3,0)</f>
        <v>-</v>
      </c>
      <c r="AJ16" s="12" t="str">
        <f>VLOOKUP(Form_Responses[[#This Row],[Nombre Técnico]],'masa de trabajo'!$B:$E,4,0)</f>
        <v>-</v>
      </c>
    </row>
    <row r="17" spans="1:36" ht="15.75" customHeight="1" x14ac:dyDescent="0.25">
      <c r="A17" s="1">
        <v>46252.439018576391</v>
      </c>
      <c r="B17" s="10">
        <v>6</v>
      </c>
      <c r="C17" s="3" t="s">
        <v>173</v>
      </c>
      <c r="D17" s="3" t="s">
        <v>174</v>
      </c>
      <c r="E17" s="3" t="s">
        <v>64</v>
      </c>
      <c r="F17" s="3" t="s">
        <v>18</v>
      </c>
      <c r="G17" s="3" t="s">
        <v>18</v>
      </c>
      <c r="H17" s="3" t="s">
        <v>175</v>
      </c>
      <c r="I17" s="3" t="s">
        <v>128</v>
      </c>
      <c r="J17" s="3" t="s">
        <v>20</v>
      </c>
      <c r="K17" s="3" t="s">
        <v>23</v>
      </c>
      <c r="L17" s="3" t="s">
        <v>176</v>
      </c>
      <c r="M17" s="3" t="s">
        <v>21</v>
      </c>
      <c r="N17" s="3" t="s">
        <v>23</v>
      </c>
      <c r="O17" s="3" t="s">
        <v>21</v>
      </c>
      <c r="P17" s="3">
        <v>1</v>
      </c>
      <c r="Q17" s="3" t="s">
        <v>77</v>
      </c>
      <c r="R17" s="3" t="s">
        <v>23</v>
      </c>
      <c r="S17" s="3" t="s">
        <v>177</v>
      </c>
      <c r="T17" s="3">
        <v>4</v>
      </c>
      <c r="U17" s="4" t="s">
        <v>178</v>
      </c>
      <c r="V17" s="4" t="s">
        <v>179</v>
      </c>
      <c r="X17" s="4" t="s">
        <v>180</v>
      </c>
      <c r="Y17" s="3" t="s">
        <v>30</v>
      </c>
      <c r="Z17" s="3" t="s">
        <v>72</v>
      </c>
      <c r="AA17" s="3">
        <v>3</v>
      </c>
      <c r="AB17" s="3" t="s">
        <v>181</v>
      </c>
      <c r="AC17" s="3" t="s">
        <v>77</v>
      </c>
      <c r="AD17" s="3" t="s">
        <v>23</v>
      </c>
      <c r="AE17" s="3" t="s">
        <v>21</v>
      </c>
      <c r="AF17" s="3" t="s">
        <v>23</v>
      </c>
      <c r="AG17" s="3" t="s">
        <v>21</v>
      </c>
      <c r="AH17" s="15" t="str">
        <f>IFERROR(VLOOKUP(Form_Responses[[#This Row],[Nombre Técnico]],'masa de trabajo'!$B:$C,2,0),"")</f>
        <v>SI</v>
      </c>
      <c r="AI17" s="12" t="str">
        <f>VLOOKUP(Form_Responses[[#This Row],[Nombre Técnico]],'masa de trabajo'!$B:$E,3,0)</f>
        <v>SI</v>
      </c>
      <c r="AJ17" s="12" t="str">
        <f>VLOOKUP(Form_Responses[[#This Row],[Nombre Técnico]],'masa de trabajo'!$B:$E,4,0)</f>
        <v>-</v>
      </c>
    </row>
    <row r="18" spans="1:36" ht="15.75" customHeight="1" x14ac:dyDescent="0.25">
      <c r="A18" s="1">
        <v>46252.569284895828</v>
      </c>
      <c r="B18" s="10">
        <v>9</v>
      </c>
      <c r="C18" s="3" t="s">
        <v>182</v>
      </c>
      <c r="D18" s="3" t="s">
        <v>143</v>
      </c>
      <c r="E18" s="3" t="s">
        <v>53</v>
      </c>
      <c r="F18" s="3" t="s">
        <v>18</v>
      </c>
      <c r="G18" s="3" t="s">
        <v>18</v>
      </c>
      <c r="I18" s="3" t="s">
        <v>19</v>
      </c>
      <c r="J18" s="3" t="s">
        <v>20</v>
      </c>
      <c r="K18" s="3" t="s">
        <v>23</v>
      </c>
      <c r="L18" s="3" t="s">
        <v>183</v>
      </c>
      <c r="M18" s="3" t="s">
        <v>23</v>
      </c>
      <c r="N18" s="3" t="s">
        <v>23</v>
      </c>
      <c r="P18" s="3">
        <v>2</v>
      </c>
      <c r="Q18" s="3" t="s">
        <v>23</v>
      </c>
      <c r="R18" s="3" t="s">
        <v>23</v>
      </c>
      <c r="T18" s="3">
        <v>4</v>
      </c>
      <c r="U18" s="4" t="s">
        <v>184</v>
      </c>
      <c r="V18" s="4" t="s">
        <v>185</v>
      </c>
      <c r="W18" s="4" t="s">
        <v>186</v>
      </c>
      <c r="X18" s="4" t="s">
        <v>187</v>
      </c>
      <c r="Y18" s="3" t="s">
        <v>30</v>
      </c>
      <c r="Z18" s="3" t="s">
        <v>30</v>
      </c>
      <c r="AA18" s="3">
        <v>9</v>
      </c>
      <c r="AB18" s="3" t="s">
        <v>188</v>
      </c>
      <c r="AC18" s="3" t="s">
        <v>77</v>
      </c>
      <c r="AD18" s="3" t="s">
        <v>23</v>
      </c>
      <c r="AE18" s="3" t="s">
        <v>21</v>
      </c>
      <c r="AF18" s="3" t="s">
        <v>23</v>
      </c>
      <c r="AG18" s="3" t="s">
        <v>21</v>
      </c>
      <c r="AH18" s="15" t="str">
        <f>IFERROR(VLOOKUP(Form_Responses[[#This Row],[Nombre Técnico]],'masa de trabajo'!$B:$C,2,0),"")</f>
        <v>-</v>
      </c>
      <c r="AI18" s="12" t="str">
        <f>VLOOKUP(Form_Responses[[#This Row],[Nombre Técnico]],'masa de trabajo'!$B:$E,3,0)</f>
        <v>-</v>
      </c>
      <c r="AJ18" s="12" t="str">
        <f>VLOOKUP(Form_Responses[[#This Row],[Nombre Técnico]],'masa de trabajo'!$B:$E,4,0)</f>
        <v>-</v>
      </c>
    </row>
    <row r="19" spans="1:36" ht="15.75" customHeight="1" x14ac:dyDescent="0.25">
      <c r="A19" s="1">
        <v>46252.579421759263</v>
      </c>
      <c r="B19" s="10">
        <v>7</v>
      </c>
      <c r="C19" s="3" t="s">
        <v>189</v>
      </c>
      <c r="D19" s="3" t="s">
        <v>63</v>
      </c>
      <c r="E19" s="3" t="s">
        <v>53</v>
      </c>
      <c r="F19" s="3" t="s">
        <v>18</v>
      </c>
      <c r="G19" s="3" t="s">
        <v>18</v>
      </c>
      <c r="I19" s="3" t="s">
        <v>128</v>
      </c>
      <c r="J19" s="3" t="s">
        <v>41</v>
      </c>
      <c r="K19" s="3" t="s">
        <v>23</v>
      </c>
      <c r="L19" s="3" t="s">
        <v>190</v>
      </c>
      <c r="M19" s="3" t="s">
        <v>23</v>
      </c>
      <c r="N19" s="3" t="s">
        <v>21</v>
      </c>
      <c r="Q19" s="3" t="s">
        <v>23</v>
      </c>
      <c r="R19" s="3" t="s">
        <v>23</v>
      </c>
      <c r="S19" s="3" t="s">
        <v>191</v>
      </c>
      <c r="T19" s="3">
        <v>4</v>
      </c>
      <c r="U19" s="4" t="s">
        <v>192</v>
      </c>
      <c r="V19" s="4" t="s">
        <v>193</v>
      </c>
      <c r="W19" s="4" t="s">
        <v>194</v>
      </c>
      <c r="X19" s="4" t="s">
        <v>195</v>
      </c>
      <c r="Y19" s="3" t="s">
        <v>30</v>
      </c>
      <c r="Z19" s="3" t="s">
        <v>30</v>
      </c>
      <c r="AA19" s="3">
        <v>9</v>
      </c>
      <c r="AB19" s="3" t="s">
        <v>196</v>
      </c>
      <c r="AD19" s="3" t="s">
        <v>23</v>
      </c>
      <c r="AE19" s="3" t="s">
        <v>21</v>
      </c>
      <c r="AG19" s="3" t="s">
        <v>21</v>
      </c>
      <c r="AH19" s="15" t="str">
        <f>IFERROR(VLOOKUP(Form_Responses[[#This Row],[Nombre Técnico]],'masa de trabajo'!$B:$C,2,0),"")</f>
        <v>SI</v>
      </c>
      <c r="AI19" s="12" t="str">
        <f>VLOOKUP(Form_Responses[[#This Row],[Nombre Técnico]],'masa de trabajo'!$B:$E,3,0)</f>
        <v>SI</v>
      </c>
      <c r="AJ19" s="12" t="str">
        <f>VLOOKUP(Form_Responses[[#This Row],[Nombre Técnico]],'masa de trabajo'!$B:$E,4,0)</f>
        <v>-</v>
      </c>
    </row>
    <row r="20" spans="1:36" ht="15.75" customHeight="1" x14ac:dyDescent="0.25">
      <c r="A20" s="1">
        <v>46252.687401099538</v>
      </c>
      <c r="B20" s="10">
        <v>8</v>
      </c>
      <c r="C20" s="3" t="s">
        <v>197</v>
      </c>
      <c r="D20" s="3" t="s">
        <v>101</v>
      </c>
      <c r="E20" s="3" t="s">
        <v>17</v>
      </c>
      <c r="F20" s="3" t="s">
        <v>18</v>
      </c>
      <c r="G20" s="3" t="s">
        <v>18</v>
      </c>
      <c r="I20" s="3" t="s">
        <v>19</v>
      </c>
      <c r="J20" s="3" t="s">
        <v>20</v>
      </c>
      <c r="K20" s="3" t="s">
        <v>23</v>
      </c>
      <c r="L20" s="3" t="s">
        <v>198</v>
      </c>
      <c r="M20" s="3" t="s">
        <v>21</v>
      </c>
      <c r="N20" s="3" t="s">
        <v>23</v>
      </c>
      <c r="P20" s="3">
        <v>3</v>
      </c>
      <c r="Q20" s="3" t="s">
        <v>23</v>
      </c>
      <c r="R20" s="3" t="s">
        <v>23</v>
      </c>
      <c r="T20" s="3">
        <v>3</v>
      </c>
      <c r="U20" s="4" t="s">
        <v>199</v>
      </c>
      <c r="V20" s="4" t="s">
        <v>200</v>
      </c>
      <c r="W20" s="4" t="s">
        <v>201</v>
      </c>
      <c r="X20" s="4" t="s">
        <v>202</v>
      </c>
      <c r="Y20" s="3" t="s">
        <v>72</v>
      </c>
      <c r="Z20" s="3" t="s">
        <v>30</v>
      </c>
      <c r="AA20" s="3">
        <v>5</v>
      </c>
      <c r="AB20" s="3" t="s">
        <v>203</v>
      </c>
      <c r="AC20" s="3" t="s">
        <v>23</v>
      </c>
      <c r="AD20" s="3" t="s">
        <v>23</v>
      </c>
      <c r="AE20" s="3" t="s">
        <v>21</v>
      </c>
      <c r="AF20" s="3" t="s">
        <v>23</v>
      </c>
      <c r="AG20" s="3" t="s">
        <v>21</v>
      </c>
      <c r="AH20" s="15" t="str">
        <f>IFERROR(VLOOKUP(Form_Responses[[#This Row],[Nombre Técnico]],'masa de trabajo'!$B:$C,2,0),"")</f>
        <v>SI</v>
      </c>
      <c r="AI20" s="12" t="str">
        <f>VLOOKUP(Form_Responses[[#This Row],[Nombre Técnico]],'masa de trabajo'!$B:$E,3,0)</f>
        <v>SI</v>
      </c>
      <c r="AJ20" s="12" t="str">
        <f>VLOOKUP(Form_Responses[[#This Row],[Nombre Técnico]],'masa de trabajo'!$B:$E,4,0)</f>
        <v>-</v>
      </c>
    </row>
    <row r="21" spans="1:36" ht="15.75" customHeight="1" x14ac:dyDescent="0.25">
      <c r="A21" s="1">
        <v>46253.408800335645</v>
      </c>
      <c r="B21" s="10">
        <v>7</v>
      </c>
      <c r="C21" s="3" t="s">
        <v>204</v>
      </c>
      <c r="D21" s="3" t="s">
        <v>84</v>
      </c>
      <c r="E21" s="3" t="s">
        <v>64</v>
      </c>
      <c r="F21" s="3" t="s">
        <v>18</v>
      </c>
      <c r="G21" s="3" t="s">
        <v>18</v>
      </c>
      <c r="I21" s="3" t="s">
        <v>19</v>
      </c>
      <c r="J21" s="3" t="s">
        <v>41</v>
      </c>
      <c r="K21" s="3" t="s">
        <v>23</v>
      </c>
      <c r="L21" s="3" t="s">
        <v>205</v>
      </c>
      <c r="M21" s="3" t="s">
        <v>23</v>
      </c>
      <c r="N21" s="3" t="s">
        <v>23</v>
      </c>
      <c r="O21" s="3" t="s">
        <v>21</v>
      </c>
      <c r="P21" s="3">
        <v>2</v>
      </c>
      <c r="Q21" s="3" t="s">
        <v>77</v>
      </c>
      <c r="R21" s="3" t="s">
        <v>23</v>
      </c>
      <c r="S21" s="3" t="s">
        <v>206</v>
      </c>
      <c r="T21" s="3">
        <v>4</v>
      </c>
      <c r="U21" s="4" t="s">
        <v>207</v>
      </c>
      <c r="V21" s="4" t="s">
        <v>208</v>
      </c>
      <c r="X21" s="4" t="s">
        <v>209</v>
      </c>
      <c r="Y21" s="3" t="s">
        <v>30</v>
      </c>
      <c r="Z21" s="3" t="s">
        <v>72</v>
      </c>
      <c r="AA21" s="3">
        <v>5</v>
      </c>
      <c r="AB21" s="3" t="s">
        <v>210</v>
      </c>
      <c r="AC21" s="3" t="s">
        <v>211</v>
      </c>
      <c r="AD21" s="3" t="s">
        <v>23</v>
      </c>
      <c r="AE21" s="3" t="s">
        <v>21</v>
      </c>
      <c r="AF21" s="3" t="s">
        <v>23</v>
      </c>
      <c r="AG21" s="3" t="s">
        <v>21</v>
      </c>
      <c r="AH21" s="15" t="str">
        <f>IFERROR(VLOOKUP(Form_Responses[[#This Row],[Nombre Técnico]],'masa de trabajo'!$B:$C,2,0),"")</f>
        <v>SI</v>
      </c>
      <c r="AI21" s="12" t="str">
        <f>VLOOKUP(Form_Responses[[#This Row],[Nombre Técnico]],'masa de trabajo'!$B:$E,3,0)</f>
        <v>SI</v>
      </c>
      <c r="AJ21" s="12" t="str">
        <f>VLOOKUP(Form_Responses[[#This Row],[Nombre Técnico]],'masa de trabajo'!$B:$E,4,0)</f>
        <v>-</v>
      </c>
    </row>
    <row r="22" spans="1:36" ht="15.75" customHeight="1" x14ac:dyDescent="0.25">
      <c r="A22" s="1">
        <v>46254.036589560186</v>
      </c>
      <c r="B22" s="10">
        <v>9</v>
      </c>
      <c r="C22" s="3" t="s">
        <v>212</v>
      </c>
      <c r="D22" s="3" t="s">
        <v>63</v>
      </c>
      <c r="E22" s="3" t="s">
        <v>53</v>
      </c>
      <c r="F22" s="3" t="s">
        <v>18</v>
      </c>
      <c r="G22" s="3" t="s">
        <v>18</v>
      </c>
      <c r="I22" s="3" t="s">
        <v>19</v>
      </c>
      <c r="J22" s="3" t="s">
        <v>20</v>
      </c>
      <c r="L22" s="3" t="s">
        <v>213</v>
      </c>
      <c r="M22" s="3" t="s">
        <v>23</v>
      </c>
      <c r="N22" s="3" t="s">
        <v>23</v>
      </c>
      <c r="Q22" s="3" t="s">
        <v>23</v>
      </c>
      <c r="R22" s="3" t="s">
        <v>23</v>
      </c>
      <c r="S22" s="3" t="s">
        <v>214</v>
      </c>
      <c r="T22" s="3">
        <v>4</v>
      </c>
      <c r="U22" s="4" t="s">
        <v>215</v>
      </c>
      <c r="V22" s="4" t="s">
        <v>216</v>
      </c>
      <c r="W22" s="4" t="s">
        <v>217</v>
      </c>
      <c r="X22" s="4" t="s">
        <v>218</v>
      </c>
      <c r="Y22" s="3" t="s">
        <v>30</v>
      </c>
      <c r="Z22" s="3" t="s">
        <v>30</v>
      </c>
      <c r="AA22" s="3">
        <v>10</v>
      </c>
      <c r="AB22" s="3" t="s">
        <v>219</v>
      </c>
      <c r="AC22" s="3" t="s">
        <v>23</v>
      </c>
      <c r="AD22" s="3" t="s">
        <v>23</v>
      </c>
      <c r="AE22" s="3" t="s">
        <v>21</v>
      </c>
      <c r="AF22" s="3" t="s">
        <v>23</v>
      </c>
      <c r="AG22" s="3" t="s">
        <v>21</v>
      </c>
      <c r="AH22" s="15" t="str">
        <f>IFERROR(VLOOKUP(Form_Responses[[#This Row],[Nombre Técnico]],'masa de trabajo'!$B:$C,2,0),"")</f>
        <v>SI</v>
      </c>
      <c r="AI22" s="12" t="str">
        <f>VLOOKUP(Form_Responses[[#This Row],[Nombre Técnico]],'masa de trabajo'!$B:$E,3,0)</f>
        <v>SI</v>
      </c>
      <c r="AJ22" s="12" t="str">
        <f>VLOOKUP(Form_Responses[[#This Row],[Nombre Técnico]],'masa de trabajo'!$B:$E,4,0)</f>
        <v>-</v>
      </c>
    </row>
    <row r="23" spans="1:36" ht="15.75" customHeight="1" x14ac:dyDescent="0.25">
      <c r="A23" s="1">
        <v>46254.792688402777</v>
      </c>
      <c r="B23" s="10">
        <v>5</v>
      </c>
      <c r="C23" s="3" t="s">
        <v>220</v>
      </c>
      <c r="D23" s="3" t="s">
        <v>221</v>
      </c>
      <c r="E23" s="3" t="s">
        <v>53</v>
      </c>
      <c r="F23" s="3" t="s">
        <v>18</v>
      </c>
      <c r="G23" s="3" t="s">
        <v>18</v>
      </c>
      <c r="I23" s="3" t="s">
        <v>19</v>
      </c>
      <c r="J23" s="3" t="s">
        <v>54</v>
      </c>
      <c r="L23" s="3" t="s">
        <v>222</v>
      </c>
      <c r="M23" s="3" t="s">
        <v>23</v>
      </c>
      <c r="O23" s="3" t="s">
        <v>23</v>
      </c>
      <c r="P23" s="3">
        <v>4</v>
      </c>
      <c r="Q23" s="3" t="s">
        <v>23</v>
      </c>
      <c r="R23" s="3" t="s">
        <v>23</v>
      </c>
      <c r="S23" s="3" t="s">
        <v>223</v>
      </c>
      <c r="T23" s="3">
        <v>4</v>
      </c>
      <c r="U23" s="4" t="s">
        <v>224</v>
      </c>
      <c r="V23" s="4" t="s">
        <v>225</v>
      </c>
      <c r="W23" s="4" t="s">
        <v>226</v>
      </c>
      <c r="X23" s="4" t="s">
        <v>227</v>
      </c>
      <c r="Y23" s="3" t="s">
        <v>30</v>
      </c>
      <c r="Z23" s="3" t="s">
        <v>30</v>
      </c>
      <c r="AA23" s="3">
        <v>9</v>
      </c>
      <c r="AB23" s="3" t="s">
        <v>228</v>
      </c>
      <c r="AH23" s="15" t="str">
        <f>IFERROR(VLOOKUP(Form_Responses[[#This Row],[Nombre Técnico]],'masa de trabajo'!$B:$C,2,0),"")</f>
        <v>-</v>
      </c>
      <c r="AI23" s="12" t="str">
        <f>VLOOKUP(Form_Responses[[#This Row],[Nombre Técnico]],'masa de trabajo'!$B:$E,3,0)</f>
        <v>-</v>
      </c>
      <c r="AJ23" s="12" t="str">
        <f>VLOOKUP(Form_Responses[[#This Row],[Nombre Técnico]],'masa de trabajo'!$B:$E,4,0)</f>
        <v>-</v>
      </c>
    </row>
    <row r="24" spans="1:36" ht="15.75" customHeight="1" x14ac:dyDescent="0.25">
      <c r="A24" s="1">
        <v>46255.391508726854</v>
      </c>
      <c r="B24" s="10">
        <v>7</v>
      </c>
      <c r="C24" s="3" t="s">
        <v>229</v>
      </c>
      <c r="D24" s="3" t="s">
        <v>221</v>
      </c>
      <c r="E24" s="3" t="s">
        <v>64</v>
      </c>
      <c r="F24" s="3" t="s">
        <v>18</v>
      </c>
      <c r="G24" s="3" t="s">
        <v>18</v>
      </c>
      <c r="I24" s="3" t="s">
        <v>19</v>
      </c>
      <c r="J24" s="3" t="s">
        <v>41</v>
      </c>
      <c r="K24" s="3" t="s">
        <v>21</v>
      </c>
      <c r="L24" s="3" t="s">
        <v>230</v>
      </c>
      <c r="M24" s="3" t="s">
        <v>21</v>
      </c>
      <c r="N24" s="3" t="s">
        <v>23</v>
      </c>
      <c r="O24" s="3" t="s">
        <v>23</v>
      </c>
      <c r="P24" s="3">
        <v>4</v>
      </c>
      <c r="Q24" s="3" t="s">
        <v>23</v>
      </c>
      <c r="R24" s="3" t="s">
        <v>23</v>
      </c>
      <c r="S24" s="3" t="s">
        <v>231</v>
      </c>
      <c r="T24" s="3">
        <v>4</v>
      </c>
      <c r="U24" s="4" t="s">
        <v>232</v>
      </c>
      <c r="V24" s="4" t="s">
        <v>233</v>
      </c>
      <c r="W24" s="4" t="s">
        <v>234</v>
      </c>
      <c r="X24" s="4" t="s">
        <v>235</v>
      </c>
      <c r="Y24" s="3" t="s">
        <v>30</v>
      </c>
      <c r="Z24" s="3" t="s">
        <v>72</v>
      </c>
      <c r="AA24" s="3">
        <v>4</v>
      </c>
      <c r="AB24" s="3" t="s">
        <v>236</v>
      </c>
      <c r="AC24" s="3" t="s">
        <v>23</v>
      </c>
      <c r="AD24" s="3" t="s">
        <v>23</v>
      </c>
      <c r="AE24" s="3" t="s">
        <v>21</v>
      </c>
      <c r="AF24" s="3" t="s">
        <v>23</v>
      </c>
      <c r="AG24" s="3" t="s">
        <v>21</v>
      </c>
      <c r="AH24" s="15" t="str">
        <f>IFERROR(VLOOKUP(Form_Responses[[#This Row],[Nombre Técnico]],'masa de trabajo'!$B:$C,2,0),"")</f>
        <v>-</v>
      </c>
      <c r="AI24" s="12" t="str">
        <f>VLOOKUP(Form_Responses[[#This Row],[Nombre Técnico]],'masa de trabajo'!$B:$E,3,0)</f>
        <v>-</v>
      </c>
      <c r="AJ24" s="12" t="str">
        <f>VLOOKUP(Form_Responses[[#This Row],[Nombre Técnico]],'masa de trabajo'!$B:$E,4,0)</f>
        <v>-</v>
      </c>
    </row>
    <row r="25" spans="1:36" ht="15.75" customHeight="1" x14ac:dyDescent="0.25">
      <c r="A25" s="1">
        <v>46258.603575879628</v>
      </c>
      <c r="B25" s="10">
        <v>7</v>
      </c>
      <c r="C25" s="3" t="s">
        <v>238</v>
      </c>
      <c r="D25" s="3" t="s">
        <v>75</v>
      </c>
      <c r="E25" s="3" t="s">
        <v>53</v>
      </c>
      <c r="F25" s="3" t="s">
        <v>18</v>
      </c>
      <c r="G25" s="3" t="s">
        <v>18</v>
      </c>
      <c r="I25" s="3" t="s">
        <v>128</v>
      </c>
      <c r="J25" s="3" t="s">
        <v>41</v>
      </c>
      <c r="K25" s="3" t="s">
        <v>23</v>
      </c>
      <c r="L25" s="3" t="s">
        <v>239</v>
      </c>
      <c r="N25" s="3" t="s">
        <v>23</v>
      </c>
      <c r="O25" s="3" t="s">
        <v>23</v>
      </c>
      <c r="P25" s="3">
        <v>5</v>
      </c>
      <c r="Q25" s="3" t="s">
        <v>23</v>
      </c>
      <c r="R25" s="3" t="s">
        <v>23</v>
      </c>
      <c r="S25" s="3" t="s">
        <v>240</v>
      </c>
      <c r="T25" s="3">
        <v>4</v>
      </c>
      <c r="U25" s="4" t="s">
        <v>241</v>
      </c>
      <c r="V25" s="4" t="s">
        <v>242</v>
      </c>
      <c r="X25" s="4" t="s">
        <v>243</v>
      </c>
      <c r="Y25" s="3" t="s">
        <v>30</v>
      </c>
      <c r="Z25" s="3" t="s">
        <v>30</v>
      </c>
      <c r="AA25" s="3">
        <v>8</v>
      </c>
      <c r="AB25" s="3" t="s">
        <v>244</v>
      </c>
      <c r="AD25" s="3" t="s">
        <v>23</v>
      </c>
      <c r="AE25" s="3" t="s">
        <v>21</v>
      </c>
      <c r="AG25" s="3" t="s">
        <v>21</v>
      </c>
      <c r="AH25" s="15" t="str">
        <f>IFERROR(VLOOKUP(Form_Responses[[#This Row],[Nombre Técnico]],'masa de trabajo'!$B:$C,2,0),"")</f>
        <v>SI</v>
      </c>
      <c r="AI25" s="12" t="str">
        <f>VLOOKUP(Form_Responses[[#This Row],[Nombre Técnico]],'masa de trabajo'!$B:$E,3,0)</f>
        <v>-</v>
      </c>
      <c r="AJ25" s="12" t="str">
        <f>VLOOKUP(Form_Responses[[#This Row],[Nombre Técnico]],'masa de trabajo'!$B:$E,4,0)</f>
        <v>-</v>
      </c>
    </row>
    <row r="26" spans="1:36" ht="15.75" customHeight="1" x14ac:dyDescent="0.25">
      <c r="A26" s="1">
        <v>46258.674336504628</v>
      </c>
      <c r="B26" s="10">
        <v>7</v>
      </c>
      <c r="C26" s="3" t="s">
        <v>245</v>
      </c>
      <c r="D26" s="3" t="s">
        <v>221</v>
      </c>
      <c r="E26" s="3" t="s">
        <v>53</v>
      </c>
      <c r="F26" s="3" t="s">
        <v>18</v>
      </c>
      <c r="G26" s="3" t="s">
        <v>18</v>
      </c>
      <c r="I26" s="3" t="s">
        <v>128</v>
      </c>
      <c r="J26" s="3" t="s">
        <v>20</v>
      </c>
      <c r="K26" s="3" t="s">
        <v>23</v>
      </c>
      <c r="L26" s="3" t="s">
        <v>246</v>
      </c>
      <c r="M26" s="3" t="s">
        <v>21</v>
      </c>
      <c r="N26" s="3" t="s">
        <v>23</v>
      </c>
      <c r="O26" s="3" t="s">
        <v>21</v>
      </c>
      <c r="Q26" s="3" t="s">
        <v>23</v>
      </c>
      <c r="R26" s="3" t="s">
        <v>23</v>
      </c>
      <c r="S26" s="3" t="s">
        <v>247</v>
      </c>
      <c r="T26" s="3">
        <v>4</v>
      </c>
      <c r="U26" s="4" t="s">
        <v>248</v>
      </c>
      <c r="V26" s="4" t="s">
        <v>249</v>
      </c>
      <c r="W26" s="4" t="s">
        <v>250</v>
      </c>
      <c r="Y26" s="3" t="s">
        <v>30</v>
      </c>
      <c r="Z26" s="3" t="s">
        <v>30</v>
      </c>
      <c r="AA26" s="3">
        <v>8</v>
      </c>
      <c r="AB26" s="3" t="s">
        <v>251</v>
      </c>
      <c r="AD26" s="3" t="s">
        <v>23</v>
      </c>
      <c r="AE26" s="3" t="s">
        <v>21</v>
      </c>
      <c r="AG26" s="3" t="s">
        <v>21</v>
      </c>
      <c r="AH26" s="15" t="str">
        <f>IFERROR(VLOOKUP(Form_Responses[[#This Row],[Nombre Técnico]],'masa de trabajo'!$B:$C,2,0),"")</f>
        <v>-</v>
      </c>
      <c r="AI26" s="12" t="str">
        <f>VLOOKUP(Form_Responses[[#This Row],[Nombre Técnico]],'masa de trabajo'!$B:$E,3,0)</f>
        <v>-</v>
      </c>
      <c r="AJ26" s="12" t="str">
        <f>VLOOKUP(Form_Responses[[#This Row],[Nombre Técnico]],'masa de trabajo'!$B:$E,4,0)</f>
        <v>-</v>
      </c>
    </row>
    <row r="27" spans="1:36" ht="15.75" customHeight="1" x14ac:dyDescent="0.25">
      <c r="A27" s="1">
        <v>46260.768395266205</v>
      </c>
      <c r="B27" s="10">
        <v>6</v>
      </c>
      <c r="C27" s="3" t="s">
        <v>252</v>
      </c>
      <c r="D27" s="3" t="s">
        <v>253</v>
      </c>
      <c r="E27" s="3" t="s">
        <v>53</v>
      </c>
      <c r="F27" s="3" t="s">
        <v>18</v>
      </c>
      <c r="G27" s="3" t="s">
        <v>18</v>
      </c>
      <c r="I27" s="3" t="s">
        <v>128</v>
      </c>
      <c r="J27" s="3" t="s">
        <v>20</v>
      </c>
      <c r="K27" s="3" t="s">
        <v>23</v>
      </c>
      <c r="L27" s="3" t="s">
        <v>254</v>
      </c>
      <c r="N27" s="3" t="s">
        <v>21</v>
      </c>
      <c r="P27" s="3">
        <v>1</v>
      </c>
      <c r="Q27" s="3" t="s">
        <v>23</v>
      </c>
      <c r="R27" s="3" t="s">
        <v>23</v>
      </c>
      <c r="S27" s="3" t="s">
        <v>255</v>
      </c>
      <c r="T27" s="3">
        <v>4</v>
      </c>
      <c r="U27" s="4" t="s">
        <v>256</v>
      </c>
      <c r="V27" s="4" t="s">
        <v>257</v>
      </c>
      <c r="W27" s="4" t="s">
        <v>258</v>
      </c>
      <c r="X27" s="4" t="s">
        <v>259</v>
      </c>
      <c r="Y27" s="3" t="s">
        <v>30</v>
      </c>
      <c r="Z27" s="3" t="s">
        <v>30</v>
      </c>
      <c r="AA27" s="3">
        <v>9</v>
      </c>
      <c r="AB27" s="3" t="s">
        <v>260</v>
      </c>
      <c r="AD27" s="3" t="s">
        <v>23</v>
      </c>
      <c r="AE27" s="3" t="s">
        <v>21</v>
      </c>
      <c r="AG27" s="3" t="s">
        <v>21</v>
      </c>
      <c r="AH27" s="15" t="str">
        <f>IFERROR(VLOOKUP(Form_Responses[[#This Row],[Nombre Técnico]],'masa de trabajo'!$B:$C,2,0),"")</f>
        <v>SI</v>
      </c>
      <c r="AI27" s="12" t="str">
        <f>VLOOKUP(Form_Responses[[#This Row],[Nombre Técnico]],'masa de trabajo'!$B:$E,3,0)</f>
        <v>SI</v>
      </c>
      <c r="AJ27" s="12" t="str">
        <f>VLOOKUP(Form_Responses[[#This Row],[Nombre Técnico]],'masa de trabajo'!$B:$E,4,0)</f>
        <v>-</v>
      </c>
    </row>
    <row r="28" spans="1:36" ht="15.75" customHeight="1" x14ac:dyDescent="0.25">
      <c r="A28" s="1">
        <v>46261.683956793982</v>
      </c>
      <c r="B28" s="10">
        <v>10</v>
      </c>
      <c r="C28" s="3" t="s">
        <v>261</v>
      </c>
      <c r="D28" s="3" t="s">
        <v>84</v>
      </c>
      <c r="E28" s="3" t="s">
        <v>53</v>
      </c>
      <c r="F28" s="3" t="s">
        <v>18</v>
      </c>
      <c r="G28" s="3" t="s">
        <v>18</v>
      </c>
      <c r="I28" s="3" t="s">
        <v>19</v>
      </c>
      <c r="J28" s="3" t="s">
        <v>41</v>
      </c>
      <c r="K28" s="3" t="s">
        <v>23</v>
      </c>
      <c r="L28" s="3" t="s">
        <v>262</v>
      </c>
      <c r="M28" s="3" t="s">
        <v>23</v>
      </c>
      <c r="N28" s="3" t="s">
        <v>23</v>
      </c>
      <c r="Q28" s="3" t="s">
        <v>23</v>
      </c>
      <c r="R28" s="3" t="s">
        <v>23</v>
      </c>
      <c r="S28" s="3" t="s">
        <v>263</v>
      </c>
      <c r="T28" s="3">
        <v>4</v>
      </c>
      <c r="U28" s="4" t="s">
        <v>264</v>
      </c>
      <c r="V28" s="4" t="s">
        <v>265</v>
      </c>
      <c r="W28" s="4" t="s">
        <v>266</v>
      </c>
      <c r="X28" s="4" t="s">
        <v>267</v>
      </c>
      <c r="Y28" s="3" t="s">
        <v>30</v>
      </c>
      <c r="Z28" s="3" t="s">
        <v>30</v>
      </c>
      <c r="AA28" s="3">
        <v>10</v>
      </c>
      <c r="AB28" s="3" t="s">
        <v>268</v>
      </c>
      <c r="AC28" s="3" t="s">
        <v>23</v>
      </c>
      <c r="AD28" s="3" t="s">
        <v>23</v>
      </c>
      <c r="AE28" s="3" t="s">
        <v>21</v>
      </c>
      <c r="AF28" s="3" t="s">
        <v>23</v>
      </c>
      <c r="AG28" s="3" t="s">
        <v>21</v>
      </c>
      <c r="AH28" s="15" t="str">
        <f>IFERROR(VLOOKUP(Form_Responses[[#This Row],[Nombre Técnico]],'masa de trabajo'!$B:$C,2,0),"")</f>
        <v>SI</v>
      </c>
      <c r="AI28" s="12" t="str">
        <f>VLOOKUP(Form_Responses[[#This Row],[Nombre Técnico]],'masa de trabajo'!$B:$E,3,0)</f>
        <v>SI</v>
      </c>
      <c r="AJ28" s="12" t="str">
        <f>VLOOKUP(Form_Responses[[#This Row],[Nombre Técnico]],'masa de trabajo'!$B:$E,4,0)</f>
        <v>-</v>
      </c>
    </row>
    <row r="29" spans="1:36" ht="15.75" customHeight="1" x14ac:dyDescent="0.25">
      <c r="A29" s="1">
        <v>46266.650122476851</v>
      </c>
      <c r="B29" s="10">
        <v>8</v>
      </c>
      <c r="C29" s="3" t="s">
        <v>269</v>
      </c>
      <c r="D29" s="3" t="s">
        <v>221</v>
      </c>
      <c r="E29" s="3" t="s">
        <v>53</v>
      </c>
      <c r="F29" s="3" t="s">
        <v>18</v>
      </c>
      <c r="G29" s="3" t="s">
        <v>18</v>
      </c>
      <c r="I29" s="3" t="s">
        <v>19</v>
      </c>
      <c r="J29" s="3" t="s">
        <v>41</v>
      </c>
      <c r="L29" s="3" t="s">
        <v>270</v>
      </c>
      <c r="M29" s="3" t="s">
        <v>23</v>
      </c>
      <c r="N29" s="3" t="s">
        <v>23</v>
      </c>
      <c r="Q29" s="3" t="s">
        <v>23</v>
      </c>
      <c r="R29" s="3" t="s">
        <v>23</v>
      </c>
      <c r="T29" s="3">
        <v>4</v>
      </c>
      <c r="U29" s="4" t="s">
        <v>271</v>
      </c>
      <c r="V29" s="4" t="s">
        <v>272</v>
      </c>
      <c r="W29" s="4" t="s">
        <v>273</v>
      </c>
      <c r="X29" s="4" t="s">
        <v>274</v>
      </c>
      <c r="Y29" s="3" t="s">
        <v>30</v>
      </c>
      <c r="Z29" s="3" t="s">
        <v>30</v>
      </c>
      <c r="AA29" s="3">
        <v>9</v>
      </c>
      <c r="AB29" s="3" t="s">
        <v>275</v>
      </c>
      <c r="AC29" s="3" t="s">
        <v>77</v>
      </c>
      <c r="AD29" s="3" t="s">
        <v>23</v>
      </c>
      <c r="AE29" s="3" t="s">
        <v>21</v>
      </c>
      <c r="AF29" s="3" t="s">
        <v>23</v>
      </c>
      <c r="AG29" s="3" t="s">
        <v>21</v>
      </c>
      <c r="AH29" s="15" t="str">
        <f>IFERROR(VLOOKUP(Form_Responses[[#This Row],[Nombre Técnico]],'masa de trabajo'!$B:$C,2,0),"")</f>
        <v>-</v>
      </c>
      <c r="AI29" s="12" t="str">
        <f>VLOOKUP(Form_Responses[[#This Row],[Nombre Técnico]],'masa de trabajo'!$B:$E,3,0)</f>
        <v>-</v>
      </c>
      <c r="AJ29" s="12" t="str">
        <f>VLOOKUP(Form_Responses[[#This Row],[Nombre Técnico]],'masa de trabajo'!$B:$E,4,0)</f>
        <v>-</v>
      </c>
    </row>
    <row r="30" spans="1:36" ht="15.75" customHeight="1" x14ac:dyDescent="0.25">
      <c r="A30" s="1">
        <v>46266.829720358801</v>
      </c>
      <c r="B30" s="10">
        <v>9</v>
      </c>
      <c r="C30" s="3" t="s">
        <v>276</v>
      </c>
      <c r="D30" s="3" t="s">
        <v>277</v>
      </c>
      <c r="E30" s="3" t="s">
        <v>53</v>
      </c>
      <c r="F30" s="3" t="s">
        <v>18</v>
      </c>
      <c r="G30" s="3" t="s">
        <v>18</v>
      </c>
      <c r="I30" s="3" t="s">
        <v>19</v>
      </c>
      <c r="J30" s="3" t="s">
        <v>41</v>
      </c>
      <c r="K30" s="3" t="s">
        <v>23</v>
      </c>
      <c r="L30" s="3" t="s">
        <v>278</v>
      </c>
      <c r="M30" s="3" t="s">
        <v>23</v>
      </c>
      <c r="N30" s="3" t="s">
        <v>23</v>
      </c>
      <c r="P30" s="3">
        <v>1</v>
      </c>
      <c r="Q30" s="3" t="s">
        <v>23</v>
      </c>
      <c r="R30" s="3" t="s">
        <v>23</v>
      </c>
      <c r="S30" s="3" t="s">
        <v>279</v>
      </c>
      <c r="T30" s="3">
        <v>4</v>
      </c>
      <c r="U30" s="4" t="s">
        <v>280</v>
      </c>
      <c r="V30" s="4" t="s">
        <v>281</v>
      </c>
      <c r="W30" s="4" t="s">
        <v>282</v>
      </c>
      <c r="X30" s="4" t="s">
        <v>283</v>
      </c>
      <c r="Y30" s="3" t="s">
        <v>30</v>
      </c>
      <c r="Z30" s="3" t="s">
        <v>30</v>
      </c>
      <c r="AA30" s="3">
        <v>9</v>
      </c>
      <c r="AB30" s="3" t="s">
        <v>284</v>
      </c>
      <c r="AC30" s="3" t="s">
        <v>77</v>
      </c>
      <c r="AD30" s="3" t="s">
        <v>23</v>
      </c>
      <c r="AE30" s="3" t="s">
        <v>21</v>
      </c>
      <c r="AF30" s="3" t="s">
        <v>23</v>
      </c>
      <c r="AG30" s="3" t="s">
        <v>21</v>
      </c>
      <c r="AH30" s="15" t="str">
        <f>IFERROR(VLOOKUP(Form_Responses[[#This Row],[Nombre Técnico]],'masa de trabajo'!$B:$C,2,0),"")</f>
        <v>SI</v>
      </c>
      <c r="AI30" s="12" t="str">
        <f>VLOOKUP(Form_Responses[[#This Row],[Nombre Técnico]],'masa de trabajo'!$B:$E,3,0)</f>
        <v>-</v>
      </c>
      <c r="AJ30" s="12" t="str">
        <f>VLOOKUP(Form_Responses[[#This Row],[Nombre Técnico]],'masa de trabajo'!$B:$E,4,0)</f>
        <v>-</v>
      </c>
    </row>
    <row r="31" spans="1:36" ht="15.75" customHeight="1" x14ac:dyDescent="0.25">
      <c r="A31" s="1">
        <v>46267.696003368052</v>
      </c>
      <c r="B31" s="10">
        <v>8</v>
      </c>
      <c r="C31" s="3" t="s">
        <v>285</v>
      </c>
      <c r="D31" s="3" t="s">
        <v>253</v>
      </c>
      <c r="E31" s="3" t="s">
        <v>53</v>
      </c>
      <c r="F31" s="3" t="s">
        <v>18</v>
      </c>
      <c r="G31" s="3" t="s">
        <v>18</v>
      </c>
      <c r="I31" s="3" t="s">
        <v>19</v>
      </c>
      <c r="J31" s="3" t="s">
        <v>41</v>
      </c>
      <c r="K31" s="3" t="s">
        <v>23</v>
      </c>
      <c r="L31" s="3" t="s">
        <v>286</v>
      </c>
      <c r="M31" s="3" t="s">
        <v>21</v>
      </c>
      <c r="N31" s="3" t="s">
        <v>21</v>
      </c>
      <c r="Q31" s="3" t="s">
        <v>23</v>
      </c>
      <c r="R31" s="3" t="s">
        <v>23</v>
      </c>
      <c r="T31" s="3">
        <v>4</v>
      </c>
      <c r="U31" s="4" t="s">
        <v>287</v>
      </c>
      <c r="V31" s="4" t="s">
        <v>288</v>
      </c>
      <c r="W31" s="4" t="s">
        <v>289</v>
      </c>
      <c r="X31" s="4" t="s">
        <v>290</v>
      </c>
      <c r="Y31" s="3" t="s">
        <v>30</v>
      </c>
      <c r="Z31" s="3" t="s">
        <v>30</v>
      </c>
      <c r="AA31" s="3">
        <v>9</v>
      </c>
      <c r="AB31" s="3" t="s">
        <v>291</v>
      </c>
      <c r="AC31" s="3" t="s">
        <v>23</v>
      </c>
      <c r="AD31" s="3" t="s">
        <v>23</v>
      </c>
      <c r="AE31" s="3" t="s">
        <v>21</v>
      </c>
      <c r="AF31" s="3" t="s">
        <v>23</v>
      </c>
      <c r="AG31" s="3" t="s">
        <v>21</v>
      </c>
      <c r="AH31" s="15" t="str">
        <f>IFERROR(VLOOKUP(Form_Responses[[#This Row],[Nombre Técnico]],'masa de trabajo'!$B:$C,2,0),"")</f>
        <v>SI</v>
      </c>
      <c r="AI31" s="12" t="str">
        <f>VLOOKUP(Form_Responses[[#This Row],[Nombre Técnico]],'masa de trabajo'!$B:$E,3,0)</f>
        <v>SI</v>
      </c>
      <c r="AJ31" s="12" t="str">
        <f>VLOOKUP(Form_Responses[[#This Row],[Nombre Técnico]],'masa de trabajo'!$B:$E,4,0)</f>
        <v>-</v>
      </c>
    </row>
    <row r="32" spans="1:36" ht="15.75" customHeight="1" x14ac:dyDescent="0.25">
      <c r="A32" s="1">
        <v>46268.671411990741</v>
      </c>
      <c r="B32" s="10">
        <v>6</v>
      </c>
      <c r="C32" s="3" t="s">
        <v>292</v>
      </c>
      <c r="D32" s="3" t="s">
        <v>221</v>
      </c>
      <c r="E32" s="3" t="s">
        <v>53</v>
      </c>
      <c r="F32" s="3" t="s">
        <v>18</v>
      </c>
      <c r="G32" s="3" t="s">
        <v>18</v>
      </c>
      <c r="I32" s="3" t="s">
        <v>128</v>
      </c>
      <c r="J32" s="3" t="s">
        <v>41</v>
      </c>
      <c r="K32" s="3" t="s">
        <v>23</v>
      </c>
      <c r="L32" s="3" t="s">
        <v>293</v>
      </c>
      <c r="M32" s="3" t="s">
        <v>21</v>
      </c>
      <c r="N32" s="3" t="s">
        <v>21</v>
      </c>
      <c r="Q32" s="3" t="s">
        <v>23</v>
      </c>
      <c r="R32" s="3" t="s">
        <v>23</v>
      </c>
      <c r="S32" s="3" t="s">
        <v>294</v>
      </c>
      <c r="T32" s="3">
        <v>4</v>
      </c>
      <c r="U32" s="4" t="s">
        <v>295</v>
      </c>
      <c r="V32" s="4" t="s">
        <v>296</v>
      </c>
      <c r="W32" s="4" t="s">
        <v>297</v>
      </c>
      <c r="X32" s="4" t="s">
        <v>298</v>
      </c>
      <c r="Y32" s="3" t="s">
        <v>30</v>
      </c>
      <c r="Z32" s="3" t="s">
        <v>30</v>
      </c>
      <c r="AA32" s="3">
        <v>9</v>
      </c>
      <c r="AB32" s="3" t="s">
        <v>299</v>
      </c>
      <c r="AD32" s="3" t="s">
        <v>23</v>
      </c>
      <c r="AE32" s="3" t="s">
        <v>21</v>
      </c>
      <c r="AG32" s="3" t="s">
        <v>21</v>
      </c>
      <c r="AH32" s="15" t="str">
        <f>IFERROR(VLOOKUP(Form_Responses[[#This Row],[Nombre Técnico]],'masa de trabajo'!$B:$C,2,0),"")</f>
        <v>-</v>
      </c>
      <c r="AI32" s="12" t="str">
        <f>VLOOKUP(Form_Responses[[#This Row],[Nombre Técnico]],'masa de trabajo'!$B:$E,3,0)</f>
        <v>-</v>
      </c>
      <c r="AJ32" s="12" t="str">
        <f>VLOOKUP(Form_Responses[[#This Row],[Nombre Técnico]],'masa de trabajo'!$B:$E,4,0)</f>
        <v>-</v>
      </c>
    </row>
    <row r="33" spans="1:36" ht="15.75" customHeight="1" x14ac:dyDescent="0.25">
      <c r="A33" s="1">
        <v>46269.998554641206</v>
      </c>
      <c r="B33" s="10">
        <v>10</v>
      </c>
      <c r="C33" s="3" t="s">
        <v>300</v>
      </c>
      <c r="D33" s="3" t="s">
        <v>63</v>
      </c>
      <c r="E33" s="3" t="s">
        <v>53</v>
      </c>
      <c r="F33" s="3" t="s">
        <v>18</v>
      </c>
      <c r="G33" s="3" t="s">
        <v>18</v>
      </c>
      <c r="I33" s="3" t="s">
        <v>19</v>
      </c>
      <c r="J33" s="3" t="s">
        <v>65</v>
      </c>
      <c r="K33" s="3" t="s">
        <v>23</v>
      </c>
      <c r="L33" s="3" t="s">
        <v>301</v>
      </c>
      <c r="M33" s="3" t="s">
        <v>23</v>
      </c>
      <c r="N33" s="3" t="s">
        <v>23</v>
      </c>
      <c r="P33" s="3">
        <v>1</v>
      </c>
      <c r="Q33" s="3" t="s">
        <v>23</v>
      </c>
      <c r="R33" s="3" t="s">
        <v>23</v>
      </c>
      <c r="S33" s="3" t="s">
        <v>302</v>
      </c>
      <c r="T33" s="3">
        <v>4</v>
      </c>
      <c r="U33" s="4" t="s">
        <v>303</v>
      </c>
      <c r="V33" s="4" t="s">
        <v>304</v>
      </c>
      <c r="W33" s="4" t="s">
        <v>305</v>
      </c>
      <c r="X33" s="4" t="s">
        <v>306</v>
      </c>
      <c r="Y33" s="3" t="s">
        <v>30</v>
      </c>
      <c r="Z33" s="3" t="s">
        <v>30</v>
      </c>
      <c r="AA33" s="3">
        <v>9</v>
      </c>
      <c r="AB33" s="3" t="s">
        <v>307</v>
      </c>
      <c r="AC33" s="3" t="s">
        <v>23</v>
      </c>
      <c r="AD33" s="3" t="s">
        <v>23</v>
      </c>
      <c r="AE33" s="3" t="s">
        <v>21</v>
      </c>
      <c r="AF33" s="3" t="s">
        <v>23</v>
      </c>
      <c r="AG33" s="3" t="s">
        <v>21</v>
      </c>
      <c r="AH33" s="15" t="str">
        <f>IFERROR(VLOOKUP(Form_Responses[[#This Row],[Nombre Técnico]],'masa de trabajo'!$B:$C,2,0),"")</f>
        <v>SI</v>
      </c>
      <c r="AI33" s="12" t="str">
        <f>VLOOKUP(Form_Responses[[#This Row],[Nombre Técnico]],'masa de trabajo'!$B:$E,3,0)</f>
        <v>SI</v>
      </c>
      <c r="AJ33" s="12" t="str">
        <f>VLOOKUP(Form_Responses[[#This Row],[Nombre Técnico]],'masa de trabajo'!$B:$E,4,0)</f>
        <v>-</v>
      </c>
    </row>
    <row r="34" spans="1:36" ht="15.75" customHeight="1" x14ac:dyDescent="0.25">
      <c r="A34" s="1">
        <v>46271.900488796295</v>
      </c>
      <c r="B34" s="10">
        <v>10</v>
      </c>
      <c r="C34" s="3" t="s">
        <v>308</v>
      </c>
      <c r="D34" s="3" t="s">
        <v>101</v>
      </c>
      <c r="E34" s="3" t="s">
        <v>17</v>
      </c>
      <c r="F34" s="3" t="s">
        <v>18</v>
      </c>
      <c r="G34" s="3" t="s">
        <v>18</v>
      </c>
      <c r="I34" s="3" t="s">
        <v>19</v>
      </c>
      <c r="J34" s="3" t="s">
        <v>41</v>
      </c>
      <c r="K34" s="3" t="s">
        <v>23</v>
      </c>
      <c r="L34" s="3" t="s">
        <v>309</v>
      </c>
      <c r="M34" s="3" t="s">
        <v>23</v>
      </c>
      <c r="N34" s="3" t="s">
        <v>23</v>
      </c>
      <c r="O34" s="3" t="s">
        <v>21</v>
      </c>
      <c r="P34" s="3">
        <v>1</v>
      </c>
      <c r="Q34" s="3" t="s">
        <v>23</v>
      </c>
      <c r="R34" s="3" t="s">
        <v>23</v>
      </c>
      <c r="S34" s="3" t="s">
        <v>310</v>
      </c>
      <c r="T34" s="3">
        <v>4</v>
      </c>
      <c r="U34" s="4" t="s">
        <v>311</v>
      </c>
      <c r="V34" s="4" t="s">
        <v>312</v>
      </c>
      <c r="W34" s="4" t="s">
        <v>313</v>
      </c>
      <c r="X34" s="4" t="s">
        <v>314</v>
      </c>
      <c r="Y34" s="3" t="s">
        <v>30</v>
      </c>
      <c r="Z34" s="3" t="s">
        <v>30</v>
      </c>
      <c r="AA34" s="3">
        <v>7</v>
      </c>
      <c r="AB34" s="3" t="s">
        <v>315</v>
      </c>
      <c r="AC34" s="3" t="s">
        <v>23</v>
      </c>
      <c r="AD34" s="3" t="s">
        <v>23</v>
      </c>
      <c r="AE34" s="3" t="s">
        <v>21</v>
      </c>
      <c r="AF34" s="3" t="s">
        <v>23</v>
      </c>
      <c r="AG34" s="3" t="s">
        <v>21</v>
      </c>
      <c r="AH34" s="15" t="str">
        <f>IFERROR(VLOOKUP(Form_Responses[[#This Row],[Nombre Técnico]],'masa de trabajo'!$B:$C,2,0),"")</f>
        <v>SI</v>
      </c>
      <c r="AI34" s="12" t="str">
        <f>VLOOKUP(Form_Responses[[#This Row],[Nombre Técnico]],'masa de trabajo'!$B:$E,3,0)</f>
        <v>SI</v>
      </c>
      <c r="AJ34" s="12" t="str">
        <f>VLOOKUP(Form_Responses[[#This Row],[Nombre Técnico]],'masa de trabajo'!$B:$E,4,0)</f>
        <v>-</v>
      </c>
    </row>
    <row r="35" spans="1:36" ht="15.75" customHeight="1" x14ac:dyDescent="0.25">
      <c r="A35" s="1">
        <v>46271.909165335645</v>
      </c>
      <c r="B35" s="10">
        <v>9</v>
      </c>
      <c r="C35" s="3" t="s">
        <v>316</v>
      </c>
      <c r="D35" s="3" t="s">
        <v>101</v>
      </c>
      <c r="E35" s="3" t="s">
        <v>17</v>
      </c>
      <c r="F35" s="3" t="s">
        <v>18</v>
      </c>
      <c r="G35" s="3" t="s">
        <v>18</v>
      </c>
      <c r="I35" s="3" t="s">
        <v>19</v>
      </c>
      <c r="J35" s="3" t="s">
        <v>41</v>
      </c>
      <c r="K35" s="3" t="s">
        <v>23</v>
      </c>
      <c r="L35" s="3" t="s">
        <v>317</v>
      </c>
      <c r="N35" s="3" t="s">
        <v>23</v>
      </c>
      <c r="P35" s="3">
        <v>2</v>
      </c>
      <c r="Q35" s="3" t="s">
        <v>23</v>
      </c>
      <c r="R35" s="3" t="s">
        <v>23</v>
      </c>
      <c r="S35" s="3" t="s">
        <v>318</v>
      </c>
      <c r="T35" s="3">
        <v>4</v>
      </c>
      <c r="U35" s="4" t="s">
        <v>319</v>
      </c>
      <c r="V35" s="4" t="s">
        <v>320</v>
      </c>
      <c r="W35" s="4" t="s">
        <v>321</v>
      </c>
      <c r="X35" s="4" t="s">
        <v>322</v>
      </c>
      <c r="Y35" s="3" t="s">
        <v>30</v>
      </c>
      <c r="Z35" s="3" t="s">
        <v>30</v>
      </c>
      <c r="AA35" s="3">
        <v>8</v>
      </c>
      <c r="AB35" s="3" t="s">
        <v>323</v>
      </c>
      <c r="AC35" s="3" t="s">
        <v>23</v>
      </c>
      <c r="AD35" s="3" t="s">
        <v>23</v>
      </c>
      <c r="AE35" s="3" t="s">
        <v>21</v>
      </c>
      <c r="AF35" s="3" t="s">
        <v>23</v>
      </c>
      <c r="AG35" s="3" t="s">
        <v>21</v>
      </c>
      <c r="AH35" s="15" t="str">
        <f>IFERROR(VLOOKUP(Form_Responses[[#This Row],[Nombre Técnico]],'masa de trabajo'!$B:$C,2,0),"")</f>
        <v>SI</v>
      </c>
      <c r="AI35" s="12" t="str">
        <f>VLOOKUP(Form_Responses[[#This Row],[Nombre Técnico]],'masa de trabajo'!$B:$E,3,0)</f>
        <v>SI</v>
      </c>
      <c r="AJ35" s="12" t="str">
        <f>VLOOKUP(Form_Responses[[#This Row],[Nombre Técnico]],'masa de trabajo'!$B:$E,4,0)</f>
        <v>-</v>
      </c>
    </row>
    <row r="36" spans="1:36" ht="15.75" customHeight="1" x14ac:dyDescent="0.25">
      <c r="A36" s="1">
        <v>46271.929969872683</v>
      </c>
      <c r="B36" s="10">
        <v>6</v>
      </c>
      <c r="C36" s="3" t="s">
        <v>324</v>
      </c>
      <c r="D36" s="3" t="s">
        <v>101</v>
      </c>
      <c r="E36" s="3" t="s">
        <v>17</v>
      </c>
      <c r="F36" s="3" t="s">
        <v>18</v>
      </c>
      <c r="G36" s="3" t="s">
        <v>18</v>
      </c>
      <c r="I36" s="3" t="s">
        <v>19</v>
      </c>
      <c r="J36" s="3" t="s">
        <v>65</v>
      </c>
      <c r="L36" s="3" t="s">
        <v>325</v>
      </c>
      <c r="N36" s="3" t="s">
        <v>23</v>
      </c>
      <c r="O36" s="3" t="s">
        <v>23</v>
      </c>
      <c r="Q36" s="3" t="s">
        <v>23</v>
      </c>
      <c r="R36" s="3" t="s">
        <v>23</v>
      </c>
      <c r="S36" s="3" t="s">
        <v>326</v>
      </c>
      <c r="T36" s="3">
        <v>4</v>
      </c>
      <c r="U36" s="4" t="s">
        <v>327</v>
      </c>
      <c r="V36" s="4" t="s">
        <v>328</v>
      </c>
      <c r="X36" s="4" t="s">
        <v>329</v>
      </c>
      <c r="Y36" s="3" t="s">
        <v>30</v>
      </c>
      <c r="Z36" s="3" t="s">
        <v>30</v>
      </c>
      <c r="AA36" s="3">
        <v>7</v>
      </c>
      <c r="AB36" s="3" t="s">
        <v>330</v>
      </c>
      <c r="AD36" s="3" t="s">
        <v>23</v>
      </c>
      <c r="AH36" s="15" t="str">
        <f>IFERROR(VLOOKUP(Form_Responses[[#This Row],[Nombre Técnico]],'masa de trabajo'!$B:$C,2,0),"")</f>
        <v>SI</v>
      </c>
      <c r="AI36" s="12" t="str">
        <f>VLOOKUP(Form_Responses[[#This Row],[Nombre Técnico]],'masa de trabajo'!$B:$E,3,0)</f>
        <v>SI</v>
      </c>
      <c r="AJ36" s="12" t="str">
        <f>VLOOKUP(Form_Responses[[#This Row],[Nombre Técnico]],'masa de trabajo'!$B:$E,4,0)</f>
        <v>-</v>
      </c>
    </row>
    <row r="37" spans="1:36" ht="15.75" customHeight="1" x14ac:dyDescent="0.25">
      <c r="A37" s="1">
        <v>46271.935383136573</v>
      </c>
      <c r="B37" s="10">
        <v>8</v>
      </c>
      <c r="C37" s="3" t="s">
        <v>331</v>
      </c>
      <c r="D37" s="3" t="s">
        <v>101</v>
      </c>
      <c r="E37" s="3" t="s">
        <v>17</v>
      </c>
      <c r="F37" s="3" t="s">
        <v>18</v>
      </c>
      <c r="G37" s="3" t="s">
        <v>18</v>
      </c>
      <c r="I37" s="3" t="s">
        <v>19</v>
      </c>
      <c r="J37" s="3" t="s">
        <v>65</v>
      </c>
      <c r="L37" s="3" t="s">
        <v>332</v>
      </c>
      <c r="N37" s="3" t="s">
        <v>23</v>
      </c>
      <c r="P37" s="3">
        <v>2</v>
      </c>
      <c r="Q37" s="3" t="s">
        <v>23</v>
      </c>
      <c r="R37" s="3" t="s">
        <v>23</v>
      </c>
      <c r="S37" s="3" t="s">
        <v>333</v>
      </c>
      <c r="T37" s="16" t="s">
        <v>334</v>
      </c>
      <c r="U37" s="4" t="s">
        <v>335</v>
      </c>
      <c r="V37" s="4" t="s">
        <v>336</v>
      </c>
      <c r="X37" s="4" t="s">
        <v>337</v>
      </c>
      <c r="Y37" s="3" t="s">
        <v>30</v>
      </c>
      <c r="Z37" s="3" t="s">
        <v>30</v>
      </c>
      <c r="AA37" s="3">
        <v>6</v>
      </c>
      <c r="AB37" s="3" t="s">
        <v>338</v>
      </c>
      <c r="AC37" s="3" t="s">
        <v>23</v>
      </c>
      <c r="AD37" s="3" t="s">
        <v>23</v>
      </c>
      <c r="AF37" s="3" t="s">
        <v>23</v>
      </c>
      <c r="AH37" s="15" t="str">
        <f>IFERROR(VLOOKUP(Form_Responses[[#This Row],[Nombre Técnico]],'masa de trabajo'!$B:$C,2,0),"")</f>
        <v>SI</v>
      </c>
      <c r="AI37" s="12" t="str">
        <f>VLOOKUP(Form_Responses[[#This Row],[Nombre Técnico]],'masa de trabajo'!$B:$E,3,0)</f>
        <v>SI</v>
      </c>
      <c r="AJ37" s="12" t="str">
        <f>VLOOKUP(Form_Responses[[#This Row],[Nombre Técnico]],'masa de trabajo'!$B:$E,4,0)</f>
        <v>-</v>
      </c>
    </row>
    <row r="38" spans="1:36" ht="15.75" customHeight="1" x14ac:dyDescent="0.25">
      <c r="A38" s="1">
        <v>46271.948370185186</v>
      </c>
      <c r="B38" s="10">
        <v>8</v>
      </c>
      <c r="C38" s="3" t="s">
        <v>339</v>
      </c>
      <c r="D38" s="3" t="s">
        <v>340</v>
      </c>
      <c r="E38" s="3" t="s">
        <v>17</v>
      </c>
      <c r="F38" s="3" t="s">
        <v>18</v>
      </c>
      <c r="G38" s="3" t="s">
        <v>18</v>
      </c>
      <c r="I38" s="3" t="s">
        <v>19</v>
      </c>
      <c r="J38" s="3" t="s">
        <v>65</v>
      </c>
      <c r="L38" s="3" t="s">
        <v>341</v>
      </c>
      <c r="N38" s="3" t="s">
        <v>23</v>
      </c>
      <c r="Q38" s="3" t="s">
        <v>23</v>
      </c>
      <c r="R38" s="3" t="s">
        <v>23</v>
      </c>
      <c r="S38" s="3" t="s">
        <v>342</v>
      </c>
      <c r="T38" s="3">
        <v>4</v>
      </c>
      <c r="U38" s="4" t="s">
        <v>343</v>
      </c>
      <c r="V38" s="4" t="s">
        <v>344</v>
      </c>
      <c r="X38" s="4" t="s">
        <v>345</v>
      </c>
      <c r="Y38" s="3" t="s">
        <v>30</v>
      </c>
      <c r="Z38" s="3" t="s">
        <v>30</v>
      </c>
      <c r="AA38" s="3">
        <v>8</v>
      </c>
      <c r="AB38" s="3" t="s">
        <v>346</v>
      </c>
      <c r="AC38" s="3" t="s">
        <v>23</v>
      </c>
      <c r="AD38" s="3" t="s">
        <v>23</v>
      </c>
      <c r="AF38" s="3" t="s">
        <v>23</v>
      </c>
      <c r="AH38" s="15" t="str">
        <f>IFERROR(VLOOKUP(Form_Responses[[#This Row],[Nombre Técnico]],'masa de trabajo'!$B:$C,2,0),"")</f>
        <v>-</v>
      </c>
      <c r="AI38" s="12" t="str">
        <f>VLOOKUP(Form_Responses[[#This Row],[Nombre Técnico]],'masa de trabajo'!$B:$E,3,0)</f>
        <v>-</v>
      </c>
      <c r="AJ38" s="12" t="str">
        <f>VLOOKUP(Form_Responses[[#This Row],[Nombre Técnico]],'masa de trabajo'!$B:$E,4,0)</f>
        <v>-</v>
      </c>
    </row>
    <row r="39" spans="1:36" ht="15.75" customHeight="1" x14ac:dyDescent="0.25">
      <c r="A39" s="1">
        <v>46271.955678379629</v>
      </c>
      <c r="B39" s="10">
        <v>7</v>
      </c>
      <c r="C39" s="3" t="s">
        <v>347</v>
      </c>
      <c r="D39" s="3" t="s">
        <v>348</v>
      </c>
      <c r="E39" s="3" t="s">
        <v>17</v>
      </c>
      <c r="F39" s="3" t="s">
        <v>18</v>
      </c>
      <c r="G39" s="3" t="s">
        <v>18</v>
      </c>
      <c r="I39" s="3" t="s">
        <v>19</v>
      </c>
      <c r="J39" s="3" t="s">
        <v>41</v>
      </c>
      <c r="L39" s="3" t="s">
        <v>349</v>
      </c>
      <c r="N39" s="3" t="s">
        <v>23</v>
      </c>
      <c r="P39" s="3">
        <v>1</v>
      </c>
      <c r="Q39" s="3" t="s">
        <v>23</v>
      </c>
      <c r="R39" s="3" t="s">
        <v>23</v>
      </c>
      <c r="S39" s="3" t="s">
        <v>350</v>
      </c>
      <c r="T39" s="3">
        <v>3</v>
      </c>
      <c r="U39" s="4" t="s">
        <v>351</v>
      </c>
      <c r="V39" s="4" t="s">
        <v>352</v>
      </c>
      <c r="W39" s="4" t="s">
        <v>353</v>
      </c>
      <c r="X39" s="4" t="s">
        <v>354</v>
      </c>
      <c r="Y39" s="3" t="s">
        <v>30</v>
      </c>
      <c r="Z39" s="3" t="s">
        <v>72</v>
      </c>
      <c r="AA39" s="3">
        <v>5</v>
      </c>
      <c r="AB39" s="3" t="s">
        <v>355</v>
      </c>
      <c r="AC39" s="3" t="s">
        <v>23</v>
      </c>
      <c r="AD39" s="3" t="s">
        <v>23</v>
      </c>
      <c r="AE39" s="3" t="s">
        <v>23</v>
      </c>
      <c r="AF39" s="3" t="s">
        <v>23</v>
      </c>
      <c r="AH39" s="15" t="str">
        <f>IFERROR(VLOOKUP(Form_Responses[[#This Row],[Nombre Técnico]],'masa de trabajo'!$B:$C,2,0),"")</f>
        <v>-</v>
      </c>
      <c r="AI39" s="12" t="str">
        <f>VLOOKUP(Form_Responses[[#This Row],[Nombre Técnico]],'masa de trabajo'!$B:$E,3,0)</f>
        <v>-</v>
      </c>
      <c r="AJ39" s="12" t="str">
        <f>VLOOKUP(Form_Responses[[#This Row],[Nombre Técnico]],'masa de trabajo'!$B:$E,4,0)</f>
        <v>-</v>
      </c>
    </row>
    <row r="40" spans="1:36" ht="15.75" customHeight="1" x14ac:dyDescent="0.25">
      <c r="A40" s="1">
        <v>46271.963903287033</v>
      </c>
      <c r="B40" s="10">
        <v>8</v>
      </c>
      <c r="C40" s="3" t="s">
        <v>356</v>
      </c>
      <c r="D40" s="3" t="s">
        <v>157</v>
      </c>
      <c r="E40" s="3" t="s">
        <v>17</v>
      </c>
      <c r="F40" s="3" t="s">
        <v>18</v>
      </c>
      <c r="G40" s="3" t="s">
        <v>18</v>
      </c>
      <c r="I40" s="3" t="s">
        <v>19</v>
      </c>
      <c r="J40" s="3" t="s">
        <v>41</v>
      </c>
      <c r="L40" s="3" t="s">
        <v>357</v>
      </c>
      <c r="N40" s="3" t="s">
        <v>23</v>
      </c>
      <c r="Q40" s="3" t="s">
        <v>23</v>
      </c>
      <c r="R40" s="3" t="s">
        <v>23</v>
      </c>
      <c r="S40" s="3" t="s">
        <v>159</v>
      </c>
      <c r="T40" s="3">
        <v>4</v>
      </c>
      <c r="U40" s="4" t="s">
        <v>358</v>
      </c>
      <c r="V40" s="4" t="s">
        <v>359</v>
      </c>
      <c r="W40" s="4" t="s">
        <v>360</v>
      </c>
      <c r="X40" s="4" t="s">
        <v>361</v>
      </c>
      <c r="Y40" s="3" t="s">
        <v>30</v>
      </c>
      <c r="Z40" s="3" t="s">
        <v>30</v>
      </c>
      <c r="AA40" s="3">
        <v>8</v>
      </c>
      <c r="AB40" s="3" t="s">
        <v>362</v>
      </c>
      <c r="AC40" s="3" t="s">
        <v>23</v>
      </c>
      <c r="AD40" s="3" t="s">
        <v>23</v>
      </c>
      <c r="AE40" s="3" t="s">
        <v>21</v>
      </c>
      <c r="AF40" s="3" t="s">
        <v>23</v>
      </c>
      <c r="AG40" s="3" t="s">
        <v>21</v>
      </c>
      <c r="AH40" s="15" t="str">
        <f>IFERROR(VLOOKUP(Form_Responses[[#This Row],[Nombre Técnico]],'masa de trabajo'!$B:$C,2,0),"")</f>
        <v>-</v>
      </c>
      <c r="AI40" s="12" t="str">
        <f>VLOOKUP(Form_Responses[[#This Row],[Nombre Técnico]],'masa de trabajo'!$B:$E,3,0)</f>
        <v>-</v>
      </c>
      <c r="AJ40" s="12" t="str">
        <f>VLOOKUP(Form_Responses[[#This Row],[Nombre Técnico]],'masa de trabajo'!$B:$E,4,0)</f>
        <v>-</v>
      </c>
    </row>
    <row r="41" spans="1:36" ht="15.75" customHeight="1" x14ac:dyDescent="0.25">
      <c r="A41" s="1">
        <v>46272.725015509262</v>
      </c>
      <c r="B41" s="10">
        <v>9</v>
      </c>
      <c r="C41" s="3" t="s">
        <v>363</v>
      </c>
      <c r="D41" s="3" t="s">
        <v>364</v>
      </c>
      <c r="E41" s="3" t="s">
        <v>53</v>
      </c>
      <c r="F41" s="3" t="s">
        <v>18</v>
      </c>
      <c r="G41" s="3" t="s">
        <v>18</v>
      </c>
      <c r="I41" s="3" t="s">
        <v>19</v>
      </c>
      <c r="J41" s="3" t="s">
        <v>41</v>
      </c>
      <c r="K41" s="3" t="s">
        <v>23</v>
      </c>
      <c r="L41" s="3" t="s">
        <v>365</v>
      </c>
      <c r="M41" s="3" t="s">
        <v>23</v>
      </c>
      <c r="N41" s="3" t="s">
        <v>21</v>
      </c>
      <c r="Q41" s="3" t="s">
        <v>23</v>
      </c>
      <c r="R41" s="3" t="s">
        <v>23</v>
      </c>
      <c r="T41" s="3">
        <v>4</v>
      </c>
      <c r="U41" s="4" t="s">
        <v>366</v>
      </c>
      <c r="V41" s="4" t="s">
        <v>367</v>
      </c>
      <c r="W41" s="4" t="s">
        <v>368</v>
      </c>
      <c r="X41" s="4" t="s">
        <v>369</v>
      </c>
      <c r="Y41" s="3" t="s">
        <v>30</v>
      </c>
      <c r="Z41" s="3" t="s">
        <v>30</v>
      </c>
      <c r="AA41" s="3">
        <v>9</v>
      </c>
      <c r="AB41" s="3" t="s">
        <v>291</v>
      </c>
      <c r="AC41" s="3" t="s">
        <v>23</v>
      </c>
      <c r="AD41" s="3" t="s">
        <v>23</v>
      </c>
      <c r="AE41" s="3" t="s">
        <v>21</v>
      </c>
      <c r="AF41" s="3" t="s">
        <v>23</v>
      </c>
      <c r="AG41" s="3" t="s">
        <v>21</v>
      </c>
      <c r="AH41" s="15" t="str">
        <f>IFERROR(VLOOKUP(Form_Responses[[#This Row],[Nombre Técnico]],'masa de trabajo'!$B:$C,2,0),"")</f>
        <v>-</v>
      </c>
      <c r="AI41" s="12" t="str">
        <f>VLOOKUP(Form_Responses[[#This Row],[Nombre Técnico]],'masa de trabajo'!$B:$E,3,0)</f>
        <v>-</v>
      </c>
      <c r="AJ41" s="12" t="str">
        <f>VLOOKUP(Form_Responses[[#This Row],[Nombre Técnico]],'masa de trabajo'!$B:$E,4,0)</f>
        <v>-</v>
      </c>
    </row>
    <row r="42" spans="1:36" ht="15.75" customHeight="1" x14ac:dyDescent="0.25">
      <c r="A42" s="1">
        <v>46273.385448194444</v>
      </c>
      <c r="B42" s="10">
        <v>8</v>
      </c>
      <c r="C42" s="3" t="s">
        <v>370</v>
      </c>
      <c r="D42" s="3" t="s">
        <v>143</v>
      </c>
      <c r="E42" s="3" t="s">
        <v>53</v>
      </c>
      <c r="F42" s="3" t="s">
        <v>18</v>
      </c>
      <c r="G42" s="3" t="s">
        <v>18</v>
      </c>
      <c r="I42" s="3" t="s">
        <v>19</v>
      </c>
      <c r="J42" s="3" t="s">
        <v>20</v>
      </c>
      <c r="K42" s="3" t="s">
        <v>23</v>
      </c>
      <c r="L42" s="3" t="s">
        <v>371</v>
      </c>
      <c r="M42" s="3" t="s">
        <v>23</v>
      </c>
      <c r="N42" s="3" t="s">
        <v>21</v>
      </c>
      <c r="Q42" s="3" t="s">
        <v>23</v>
      </c>
      <c r="R42" s="3" t="s">
        <v>23</v>
      </c>
      <c r="S42" s="3" t="s">
        <v>372</v>
      </c>
      <c r="T42" s="3">
        <v>4</v>
      </c>
      <c r="U42" s="4" t="s">
        <v>373</v>
      </c>
      <c r="V42" s="4" t="s">
        <v>374</v>
      </c>
      <c r="W42" s="4" t="s">
        <v>375</v>
      </c>
      <c r="X42" s="4" t="s">
        <v>376</v>
      </c>
      <c r="Y42" s="3" t="s">
        <v>30</v>
      </c>
      <c r="Z42" s="3" t="s">
        <v>30</v>
      </c>
      <c r="AA42" s="3">
        <v>9</v>
      </c>
      <c r="AB42" s="3" t="s">
        <v>377</v>
      </c>
      <c r="AC42" s="3" t="s">
        <v>77</v>
      </c>
      <c r="AD42" s="3" t="s">
        <v>23</v>
      </c>
      <c r="AE42" s="3" t="s">
        <v>21</v>
      </c>
      <c r="AF42" s="3" t="s">
        <v>23</v>
      </c>
      <c r="AG42" s="3" t="s">
        <v>21</v>
      </c>
      <c r="AH42" s="15" t="str">
        <f>IFERROR(VLOOKUP(Form_Responses[[#This Row],[Nombre Técnico]],'masa de trabajo'!$B:$C,2,0),"")</f>
        <v>-</v>
      </c>
      <c r="AI42" s="12" t="str">
        <f>VLOOKUP(Form_Responses[[#This Row],[Nombre Técnico]],'masa de trabajo'!$B:$E,3,0)</f>
        <v>-</v>
      </c>
      <c r="AJ42" s="12" t="str">
        <f>VLOOKUP(Form_Responses[[#This Row],[Nombre Técnico]],'masa de trabajo'!$B:$E,4,0)</f>
        <v>-</v>
      </c>
    </row>
    <row r="43" spans="1:36" ht="15.75" customHeight="1" x14ac:dyDescent="0.25">
      <c r="A43" s="1">
        <v>46273.679735358797</v>
      </c>
      <c r="B43" s="10">
        <v>8</v>
      </c>
      <c r="C43" s="3" t="s">
        <v>378</v>
      </c>
      <c r="D43" s="3" t="s">
        <v>174</v>
      </c>
      <c r="E43" s="3" t="s">
        <v>53</v>
      </c>
      <c r="F43" s="3" t="s">
        <v>18</v>
      </c>
      <c r="G43" s="3" t="s">
        <v>18</v>
      </c>
      <c r="I43" s="3" t="s">
        <v>19</v>
      </c>
      <c r="J43" s="3" t="s">
        <v>20</v>
      </c>
      <c r="K43" s="3" t="s">
        <v>23</v>
      </c>
      <c r="L43" s="3" t="s">
        <v>379</v>
      </c>
      <c r="N43" s="3" t="s">
        <v>23</v>
      </c>
      <c r="Q43" s="3" t="s">
        <v>23</v>
      </c>
      <c r="R43" s="3" t="s">
        <v>23</v>
      </c>
      <c r="T43" s="3">
        <v>4</v>
      </c>
      <c r="U43" s="4" t="s">
        <v>380</v>
      </c>
      <c r="V43" s="4" t="s">
        <v>381</v>
      </c>
      <c r="W43" s="4" t="s">
        <v>382</v>
      </c>
      <c r="X43" s="4" t="s">
        <v>383</v>
      </c>
      <c r="Y43" s="3" t="s">
        <v>30</v>
      </c>
      <c r="Z43" s="3" t="s">
        <v>30</v>
      </c>
      <c r="AA43" s="3">
        <v>9</v>
      </c>
      <c r="AB43" s="3" t="s">
        <v>384</v>
      </c>
      <c r="AC43" s="3" t="s">
        <v>77</v>
      </c>
      <c r="AD43" s="3" t="s">
        <v>23</v>
      </c>
      <c r="AE43" s="3" t="s">
        <v>21</v>
      </c>
      <c r="AF43" s="3" t="s">
        <v>23</v>
      </c>
      <c r="AG43" s="3" t="s">
        <v>21</v>
      </c>
      <c r="AH43" s="15" t="str">
        <f>IFERROR(VLOOKUP(Form_Responses[[#This Row],[Nombre Técnico]],'masa de trabajo'!$B:$C,2,0),"")</f>
        <v>SI</v>
      </c>
      <c r="AI43" s="12" t="str">
        <f>VLOOKUP(Form_Responses[[#This Row],[Nombre Técnico]],'masa de trabajo'!$B:$E,3,0)</f>
        <v>SI</v>
      </c>
      <c r="AJ43" s="12" t="str">
        <f>VLOOKUP(Form_Responses[[#This Row],[Nombre Técnico]],'masa de trabajo'!$B:$E,4,0)</f>
        <v>-</v>
      </c>
    </row>
    <row r="44" spans="1:36" ht="15.75" customHeight="1" x14ac:dyDescent="0.25">
      <c r="A44" s="1">
        <v>46275.333339247685</v>
      </c>
      <c r="B44" s="10">
        <v>8</v>
      </c>
      <c r="C44" s="3" t="s">
        <v>385</v>
      </c>
      <c r="D44" s="3" t="s">
        <v>63</v>
      </c>
      <c r="E44" s="3" t="s">
        <v>53</v>
      </c>
      <c r="F44" s="3" t="s">
        <v>18</v>
      </c>
      <c r="G44" s="3" t="s">
        <v>18</v>
      </c>
      <c r="I44" s="3" t="s">
        <v>128</v>
      </c>
      <c r="J44" s="3" t="s">
        <v>65</v>
      </c>
      <c r="K44" s="3" t="s">
        <v>23</v>
      </c>
      <c r="L44" s="3" t="s">
        <v>386</v>
      </c>
      <c r="M44" s="3" t="s">
        <v>23</v>
      </c>
      <c r="N44" s="3" t="s">
        <v>23</v>
      </c>
      <c r="Q44" s="3" t="s">
        <v>23</v>
      </c>
      <c r="R44" s="3" t="s">
        <v>23</v>
      </c>
      <c r="S44" s="3" t="s">
        <v>387</v>
      </c>
      <c r="T44" s="3">
        <v>4</v>
      </c>
      <c r="U44" s="4" t="s">
        <v>388</v>
      </c>
      <c r="V44" s="4" t="s">
        <v>389</v>
      </c>
      <c r="W44" s="4" t="s">
        <v>390</v>
      </c>
      <c r="X44" s="4" t="s">
        <v>391</v>
      </c>
      <c r="Y44" s="3" t="s">
        <v>30</v>
      </c>
      <c r="Z44" s="3" t="s">
        <v>30</v>
      </c>
      <c r="AA44" s="3">
        <v>9</v>
      </c>
      <c r="AB44" s="3" t="s">
        <v>392</v>
      </c>
      <c r="AD44" s="3" t="s">
        <v>23</v>
      </c>
      <c r="AE44" s="3" t="s">
        <v>21</v>
      </c>
      <c r="AG44" s="3" t="s">
        <v>21</v>
      </c>
      <c r="AH44" s="15" t="str">
        <f>IFERROR(VLOOKUP(Form_Responses[[#This Row],[Nombre Técnico]],'masa de trabajo'!$B:$C,2,0),"")</f>
        <v>SI</v>
      </c>
      <c r="AI44" s="12" t="str">
        <f>VLOOKUP(Form_Responses[[#This Row],[Nombre Técnico]],'masa de trabajo'!$B:$E,3,0)</f>
        <v>SI</v>
      </c>
      <c r="AJ44" s="12" t="str">
        <f>VLOOKUP(Form_Responses[[#This Row],[Nombre Técnico]],'masa de trabajo'!$B:$E,4,0)</f>
        <v>-</v>
      </c>
    </row>
    <row r="45" spans="1:36" ht="15.75" customHeight="1" x14ac:dyDescent="0.25">
      <c r="A45" s="1">
        <v>46275.584452997689</v>
      </c>
      <c r="B45" s="10">
        <v>6</v>
      </c>
      <c r="C45" s="3" t="s">
        <v>393</v>
      </c>
      <c r="D45" s="3" t="s">
        <v>52</v>
      </c>
      <c r="E45" s="3" t="s">
        <v>53</v>
      </c>
      <c r="F45" s="3" t="s">
        <v>18</v>
      </c>
      <c r="G45" s="3" t="s">
        <v>18</v>
      </c>
      <c r="I45" s="3" t="s">
        <v>128</v>
      </c>
      <c r="J45" s="3" t="s">
        <v>20</v>
      </c>
      <c r="L45" s="3" t="s">
        <v>394</v>
      </c>
      <c r="N45" s="3" t="s">
        <v>23</v>
      </c>
      <c r="Q45" s="3" t="s">
        <v>23</v>
      </c>
      <c r="R45" s="3" t="s">
        <v>23</v>
      </c>
      <c r="S45" s="3" t="s">
        <v>395</v>
      </c>
      <c r="T45" s="3">
        <v>4</v>
      </c>
      <c r="U45" s="4" t="s">
        <v>396</v>
      </c>
      <c r="V45" s="4" t="s">
        <v>397</v>
      </c>
      <c r="W45" s="4" t="s">
        <v>398</v>
      </c>
      <c r="X45" s="4" t="s">
        <v>399</v>
      </c>
      <c r="Y45" s="3" t="s">
        <v>30</v>
      </c>
      <c r="Z45" s="3" t="s">
        <v>30</v>
      </c>
      <c r="AA45" s="3">
        <v>9</v>
      </c>
      <c r="AB45" s="3" t="s">
        <v>400</v>
      </c>
      <c r="AD45" s="3" t="s">
        <v>23</v>
      </c>
      <c r="AE45" s="3" t="s">
        <v>21</v>
      </c>
      <c r="AG45" s="3" t="s">
        <v>21</v>
      </c>
      <c r="AH45" s="15" t="str">
        <f>IFERROR(VLOOKUP(Form_Responses[[#This Row],[Nombre Técnico]],'masa de trabajo'!$B:$C,2,0),"")</f>
        <v>SI</v>
      </c>
      <c r="AI45" s="12" t="str">
        <f>VLOOKUP(Form_Responses[[#This Row],[Nombre Técnico]],'masa de trabajo'!$B:$E,3,0)</f>
        <v>-</v>
      </c>
      <c r="AJ45" s="12" t="str">
        <f>VLOOKUP(Form_Responses[[#This Row],[Nombre Técnico]],'masa de trabajo'!$B:$E,4,0)</f>
        <v>-</v>
      </c>
    </row>
    <row r="46" spans="1:36" ht="15.75" customHeight="1" x14ac:dyDescent="0.25">
      <c r="A46" s="1">
        <v>46275.784461053241</v>
      </c>
      <c r="B46" s="10">
        <v>9</v>
      </c>
      <c r="C46" s="3" t="s">
        <v>401</v>
      </c>
      <c r="D46" s="3" t="s">
        <v>84</v>
      </c>
      <c r="E46" s="3" t="s">
        <v>53</v>
      </c>
      <c r="F46" s="3" t="s">
        <v>18</v>
      </c>
      <c r="G46" s="3" t="s">
        <v>18</v>
      </c>
      <c r="I46" s="3" t="s">
        <v>19</v>
      </c>
      <c r="J46" s="3" t="s">
        <v>41</v>
      </c>
      <c r="K46" s="3" t="s">
        <v>23</v>
      </c>
      <c r="L46" s="3" t="s">
        <v>402</v>
      </c>
      <c r="M46" s="3" t="s">
        <v>23</v>
      </c>
      <c r="N46" s="3" t="s">
        <v>21</v>
      </c>
      <c r="Q46" s="3" t="s">
        <v>23</v>
      </c>
      <c r="R46" s="3" t="s">
        <v>23</v>
      </c>
      <c r="S46" s="3" t="s">
        <v>403</v>
      </c>
      <c r="T46" s="3">
        <v>4</v>
      </c>
      <c r="U46" s="4" t="s">
        <v>404</v>
      </c>
      <c r="V46" s="4" t="s">
        <v>405</v>
      </c>
      <c r="W46" s="4" t="s">
        <v>406</v>
      </c>
      <c r="X46" s="4" t="s">
        <v>407</v>
      </c>
      <c r="Y46" s="3" t="s">
        <v>30</v>
      </c>
      <c r="Z46" s="3" t="s">
        <v>30</v>
      </c>
      <c r="AA46" s="3">
        <v>9</v>
      </c>
      <c r="AB46" s="3" t="s">
        <v>408</v>
      </c>
      <c r="AC46" s="3" t="s">
        <v>23</v>
      </c>
      <c r="AD46" s="3" t="s">
        <v>23</v>
      </c>
      <c r="AE46" s="3" t="s">
        <v>21</v>
      </c>
      <c r="AF46" s="3" t="s">
        <v>23</v>
      </c>
      <c r="AG46" s="3" t="s">
        <v>21</v>
      </c>
      <c r="AH46" s="15" t="str">
        <f>IFERROR(VLOOKUP(Form_Responses[[#This Row],[Nombre Técnico]],'masa de trabajo'!$B:$C,2,0),"")</f>
        <v>SI</v>
      </c>
      <c r="AI46" s="12" t="str">
        <f>VLOOKUP(Form_Responses[[#This Row],[Nombre Técnico]],'masa de trabajo'!$B:$E,3,0)</f>
        <v>SI</v>
      </c>
      <c r="AJ46" s="12" t="str">
        <f>VLOOKUP(Form_Responses[[#This Row],[Nombre Técnico]],'masa de trabajo'!$B:$E,4,0)</f>
        <v>-</v>
      </c>
    </row>
    <row r="47" spans="1:36" ht="15.75" customHeight="1" x14ac:dyDescent="0.25">
      <c r="A47" s="1">
        <v>46279.750844733797</v>
      </c>
      <c r="B47" s="10">
        <v>8</v>
      </c>
      <c r="C47" s="3" t="s">
        <v>409</v>
      </c>
      <c r="D47" s="3" t="s">
        <v>52</v>
      </c>
      <c r="E47" s="3" t="s">
        <v>53</v>
      </c>
      <c r="F47" s="3" t="s">
        <v>18</v>
      </c>
      <c r="G47" s="3" t="s">
        <v>18</v>
      </c>
      <c r="I47" s="3" t="s">
        <v>128</v>
      </c>
      <c r="J47" s="3" t="s">
        <v>41</v>
      </c>
      <c r="K47" s="3" t="s">
        <v>23</v>
      </c>
      <c r="L47" s="3" t="s">
        <v>410</v>
      </c>
      <c r="M47" s="3" t="s">
        <v>23</v>
      </c>
      <c r="N47" s="3" t="s">
        <v>23</v>
      </c>
      <c r="P47" s="3">
        <v>1</v>
      </c>
      <c r="Q47" s="3" t="s">
        <v>23</v>
      </c>
      <c r="R47" s="3" t="s">
        <v>23</v>
      </c>
      <c r="S47" s="3" t="s">
        <v>411</v>
      </c>
      <c r="T47" s="3">
        <v>4</v>
      </c>
      <c r="U47" s="4" t="s">
        <v>412</v>
      </c>
      <c r="V47" s="4" t="s">
        <v>413</v>
      </c>
      <c r="W47" s="4" t="s">
        <v>414</v>
      </c>
      <c r="X47" s="4" t="s">
        <v>415</v>
      </c>
      <c r="Y47" s="3" t="s">
        <v>30</v>
      </c>
      <c r="Z47" s="3" t="s">
        <v>30</v>
      </c>
      <c r="AA47" s="3">
        <v>9</v>
      </c>
      <c r="AB47" s="3" t="s">
        <v>416</v>
      </c>
      <c r="AD47" s="3" t="s">
        <v>23</v>
      </c>
      <c r="AE47" s="3" t="s">
        <v>21</v>
      </c>
      <c r="AG47" s="3" t="s">
        <v>21</v>
      </c>
      <c r="AH47" s="15" t="str">
        <f>IFERROR(VLOOKUP(Form_Responses[[#This Row],[Nombre Técnico]],'masa de trabajo'!$B:$C,2,0),"")</f>
        <v>SI</v>
      </c>
      <c r="AI47" s="12" t="str">
        <f>VLOOKUP(Form_Responses[[#This Row],[Nombre Técnico]],'masa de trabajo'!$B:$E,3,0)</f>
        <v>-</v>
      </c>
      <c r="AJ47" s="12" t="str">
        <f>VLOOKUP(Form_Responses[[#This Row],[Nombre Técnico]],'masa de trabajo'!$B:$E,4,0)</f>
        <v>-</v>
      </c>
    </row>
    <row r="48" spans="1:36" ht="15.75" customHeight="1" x14ac:dyDescent="0.25">
      <c r="A48" s="1">
        <v>46280.683903900463</v>
      </c>
      <c r="B48" s="10">
        <v>7</v>
      </c>
      <c r="C48" s="3" t="s">
        <v>417</v>
      </c>
      <c r="D48" s="3" t="s">
        <v>221</v>
      </c>
      <c r="E48" s="3" t="s">
        <v>53</v>
      </c>
      <c r="F48" s="3" t="s">
        <v>18</v>
      </c>
      <c r="G48" s="3" t="s">
        <v>18</v>
      </c>
      <c r="I48" s="3" t="s">
        <v>128</v>
      </c>
      <c r="J48" s="3" t="s">
        <v>41</v>
      </c>
      <c r="K48" s="3" t="s">
        <v>23</v>
      </c>
      <c r="L48" s="3" t="s">
        <v>418</v>
      </c>
      <c r="N48" s="3" t="s">
        <v>23</v>
      </c>
      <c r="O48" s="3" t="s">
        <v>23</v>
      </c>
      <c r="P48" s="3">
        <v>1</v>
      </c>
      <c r="Q48" s="3" t="s">
        <v>23</v>
      </c>
      <c r="R48" s="3" t="s">
        <v>23</v>
      </c>
      <c r="S48" s="3" t="s">
        <v>419</v>
      </c>
      <c r="T48" s="3">
        <v>4</v>
      </c>
      <c r="U48" s="4" t="s">
        <v>420</v>
      </c>
      <c r="V48" s="4" t="s">
        <v>421</v>
      </c>
      <c r="W48" s="4" t="s">
        <v>422</v>
      </c>
      <c r="X48" s="4" t="s">
        <v>423</v>
      </c>
      <c r="Y48" s="3" t="s">
        <v>30</v>
      </c>
      <c r="Z48" s="3" t="s">
        <v>30</v>
      </c>
      <c r="AA48" s="3">
        <v>9</v>
      </c>
      <c r="AB48" s="3" t="s">
        <v>424</v>
      </c>
      <c r="AD48" s="3" t="s">
        <v>23</v>
      </c>
      <c r="AE48" s="3" t="s">
        <v>21</v>
      </c>
      <c r="AG48" s="3" t="s">
        <v>21</v>
      </c>
      <c r="AH48" s="15" t="str">
        <f>IFERROR(VLOOKUP(Form_Responses[[#This Row],[Nombre Técnico]],'masa de trabajo'!$B:$C,2,0),"")</f>
        <v>-</v>
      </c>
      <c r="AI48" s="12" t="str">
        <f>VLOOKUP(Form_Responses[[#This Row],[Nombre Técnico]],'masa de trabajo'!$B:$E,3,0)</f>
        <v>-</v>
      </c>
      <c r="AJ48" s="12" t="str">
        <f>VLOOKUP(Form_Responses[[#This Row],[Nombre Técnico]],'masa de trabajo'!$B:$E,4,0)</f>
        <v>-</v>
      </c>
    </row>
    <row r="49" spans="1:36" ht="15.75" customHeight="1" x14ac:dyDescent="0.25">
      <c r="A49" s="1">
        <v>46281.319375243052</v>
      </c>
      <c r="B49" s="10">
        <v>7</v>
      </c>
      <c r="C49" s="3" t="s">
        <v>425</v>
      </c>
      <c r="D49" s="3" t="s">
        <v>143</v>
      </c>
      <c r="E49" s="3" t="s">
        <v>53</v>
      </c>
      <c r="F49" s="3" t="s">
        <v>18</v>
      </c>
      <c r="G49" s="3" t="s">
        <v>18</v>
      </c>
      <c r="I49" s="3" t="s">
        <v>19</v>
      </c>
      <c r="J49" s="3" t="s">
        <v>41</v>
      </c>
      <c r="L49" s="3" t="s">
        <v>426</v>
      </c>
      <c r="N49" s="3" t="s">
        <v>23</v>
      </c>
      <c r="Q49" s="3" t="s">
        <v>23</v>
      </c>
      <c r="R49" s="3" t="s">
        <v>23</v>
      </c>
      <c r="S49" s="3" t="s">
        <v>427</v>
      </c>
      <c r="T49" s="3">
        <v>4</v>
      </c>
      <c r="U49" s="4" t="s">
        <v>428</v>
      </c>
      <c r="V49" s="4" t="s">
        <v>429</v>
      </c>
      <c r="W49" s="4" t="s">
        <v>430</v>
      </c>
      <c r="X49" s="4" t="s">
        <v>431</v>
      </c>
      <c r="Y49" s="3" t="s">
        <v>30</v>
      </c>
      <c r="Z49" s="3" t="s">
        <v>30</v>
      </c>
      <c r="AA49" s="3">
        <v>9</v>
      </c>
      <c r="AB49" s="3" t="s">
        <v>384</v>
      </c>
      <c r="AC49" s="3" t="s">
        <v>77</v>
      </c>
      <c r="AD49" s="3" t="s">
        <v>23</v>
      </c>
      <c r="AE49" s="3" t="s">
        <v>21</v>
      </c>
      <c r="AF49" s="3" t="s">
        <v>23</v>
      </c>
      <c r="AG49" s="3" t="s">
        <v>21</v>
      </c>
      <c r="AH49" s="15" t="str">
        <f>IFERROR(VLOOKUP(Form_Responses[[#This Row],[Nombre Técnico]],'masa de trabajo'!$B:$C,2,0),"")</f>
        <v>-</v>
      </c>
      <c r="AI49" s="12" t="str">
        <f>VLOOKUP(Form_Responses[[#This Row],[Nombre Técnico]],'masa de trabajo'!$B:$E,3,0)</f>
        <v>-</v>
      </c>
      <c r="AJ49" s="12" t="str">
        <f>VLOOKUP(Form_Responses[[#This Row],[Nombre Técnico]],'masa de trabajo'!$B:$E,4,0)</f>
        <v>-</v>
      </c>
    </row>
    <row r="50" spans="1:36" ht="15.75" customHeight="1" x14ac:dyDescent="0.25">
      <c r="A50" s="1">
        <v>46287.316370625005</v>
      </c>
      <c r="B50" s="10">
        <v>9</v>
      </c>
      <c r="C50" s="3" t="s">
        <v>432</v>
      </c>
      <c r="D50" s="3" t="s">
        <v>52</v>
      </c>
      <c r="E50" s="3" t="s">
        <v>53</v>
      </c>
      <c r="F50" s="3" t="s">
        <v>18</v>
      </c>
      <c r="G50" s="3" t="s">
        <v>18</v>
      </c>
      <c r="I50" s="3" t="s">
        <v>19</v>
      </c>
      <c r="J50" s="3" t="s">
        <v>20</v>
      </c>
      <c r="K50" s="3" t="s">
        <v>23</v>
      </c>
      <c r="L50" s="3" t="s">
        <v>433</v>
      </c>
      <c r="N50" s="3" t="s">
        <v>23</v>
      </c>
      <c r="O50" s="3" t="s">
        <v>21</v>
      </c>
      <c r="P50" s="3">
        <v>2</v>
      </c>
      <c r="Q50" s="3" t="s">
        <v>23</v>
      </c>
      <c r="R50" s="3" t="s">
        <v>23</v>
      </c>
      <c r="T50" s="3">
        <v>4</v>
      </c>
      <c r="U50" s="4" t="s">
        <v>434</v>
      </c>
      <c r="V50" s="4" t="s">
        <v>435</v>
      </c>
      <c r="X50" s="4" t="s">
        <v>436</v>
      </c>
      <c r="Y50" s="3" t="s">
        <v>30</v>
      </c>
      <c r="Z50" s="3" t="s">
        <v>30</v>
      </c>
      <c r="AA50" s="3">
        <v>9</v>
      </c>
      <c r="AB50" s="3" t="s">
        <v>437</v>
      </c>
      <c r="AC50" s="3" t="s">
        <v>23</v>
      </c>
      <c r="AD50" s="3" t="s">
        <v>23</v>
      </c>
      <c r="AE50" s="3" t="s">
        <v>21</v>
      </c>
      <c r="AF50" s="3" t="s">
        <v>23</v>
      </c>
      <c r="AG50" s="3" t="s">
        <v>21</v>
      </c>
      <c r="AH50" s="15" t="str">
        <f>IFERROR(VLOOKUP(Form_Responses[[#This Row],[Nombre Técnico]],'masa de trabajo'!$B:$C,2,0),"")</f>
        <v>SI</v>
      </c>
      <c r="AI50" s="12" t="str">
        <f>VLOOKUP(Form_Responses[[#This Row],[Nombre Técnico]],'masa de trabajo'!$B:$E,3,0)</f>
        <v>-</v>
      </c>
      <c r="AJ50" s="12" t="str">
        <f>VLOOKUP(Form_Responses[[#This Row],[Nombre Técnico]],'masa de trabajo'!$B:$E,4,0)</f>
        <v>-</v>
      </c>
    </row>
    <row r="51" spans="1:36" ht="15.75" customHeight="1" x14ac:dyDescent="0.25">
      <c r="A51" s="1">
        <v>46287.763552685181</v>
      </c>
      <c r="B51" s="10">
        <v>6</v>
      </c>
      <c r="C51" s="3" t="s">
        <v>438</v>
      </c>
      <c r="D51" s="3" t="s">
        <v>109</v>
      </c>
      <c r="E51" s="3" t="s">
        <v>53</v>
      </c>
      <c r="F51" s="3" t="s">
        <v>18</v>
      </c>
      <c r="G51" s="3" t="s">
        <v>18</v>
      </c>
      <c r="I51" s="3" t="s">
        <v>128</v>
      </c>
      <c r="J51" s="3" t="s">
        <v>20</v>
      </c>
      <c r="K51" s="3" t="s">
        <v>23</v>
      </c>
      <c r="L51" s="3" t="s">
        <v>439</v>
      </c>
      <c r="M51" s="3" t="s">
        <v>23</v>
      </c>
      <c r="N51" s="3" t="s">
        <v>21</v>
      </c>
      <c r="P51" s="3">
        <v>2</v>
      </c>
      <c r="Q51" s="3" t="s">
        <v>23</v>
      </c>
      <c r="R51" s="3" t="s">
        <v>23</v>
      </c>
      <c r="S51" s="3" t="s">
        <v>440</v>
      </c>
      <c r="T51" s="3">
        <v>4</v>
      </c>
      <c r="U51" s="4" t="s">
        <v>441</v>
      </c>
      <c r="V51" s="4" t="s">
        <v>442</v>
      </c>
      <c r="W51" s="4" t="s">
        <v>443</v>
      </c>
      <c r="X51" s="4" t="s">
        <v>444</v>
      </c>
      <c r="Y51" s="3" t="s">
        <v>30</v>
      </c>
      <c r="Z51" s="3" t="s">
        <v>72</v>
      </c>
      <c r="AA51" s="3">
        <v>9</v>
      </c>
      <c r="AB51" s="3" t="s">
        <v>445</v>
      </c>
      <c r="AD51" s="3" t="s">
        <v>23</v>
      </c>
      <c r="AE51" s="3" t="s">
        <v>21</v>
      </c>
      <c r="AG51" s="3" t="s">
        <v>21</v>
      </c>
      <c r="AH51" s="15" t="str">
        <f>IFERROR(VLOOKUP(Form_Responses[[#This Row],[Nombre Técnico]],'masa de trabajo'!$B:$C,2,0),"")</f>
        <v>-</v>
      </c>
      <c r="AI51" s="12" t="str">
        <f>VLOOKUP(Form_Responses[[#This Row],[Nombre Técnico]],'masa de trabajo'!$B:$E,3,0)</f>
        <v>-</v>
      </c>
      <c r="AJ51" s="12" t="str">
        <f>VLOOKUP(Form_Responses[[#This Row],[Nombre Técnico]],'masa de trabajo'!$B:$E,4,0)</f>
        <v>-</v>
      </c>
    </row>
    <row r="52" spans="1:36" ht="15.75" customHeight="1" x14ac:dyDescent="0.25">
      <c r="A52" s="1">
        <v>46287.95001443287</v>
      </c>
      <c r="B52" s="10">
        <v>10</v>
      </c>
      <c r="C52" s="3" t="s">
        <v>446</v>
      </c>
      <c r="D52" s="3" t="s">
        <v>33</v>
      </c>
      <c r="E52" s="3" t="s">
        <v>17</v>
      </c>
      <c r="F52" s="3" t="s">
        <v>18</v>
      </c>
      <c r="G52" s="3" t="s">
        <v>18</v>
      </c>
      <c r="I52" s="3" t="s">
        <v>19</v>
      </c>
      <c r="J52" s="3" t="s">
        <v>20</v>
      </c>
      <c r="K52" s="3" t="s">
        <v>23</v>
      </c>
      <c r="L52" s="3" t="s">
        <v>447</v>
      </c>
      <c r="M52" s="3" t="s">
        <v>23</v>
      </c>
      <c r="N52" s="3" t="s">
        <v>23</v>
      </c>
      <c r="Q52" s="3" t="s">
        <v>23</v>
      </c>
      <c r="R52" s="3" t="s">
        <v>23</v>
      </c>
      <c r="S52" s="3" t="s">
        <v>448</v>
      </c>
      <c r="T52" s="3">
        <v>4</v>
      </c>
      <c r="U52" s="4" t="s">
        <v>449</v>
      </c>
      <c r="V52" s="4" t="s">
        <v>450</v>
      </c>
      <c r="W52" s="4" t="s">
        <v>451</v>
      </c>
      <c r="X52" s="4" t="s">
        <v>452</v>
      </c>
      <c r="Y52" s="3" t="s">
        <v>30</v>
      </c>
      <c r="Z52" s="3" t="s">
        <v>30</v>
      </c>
      <c r="AA52" s="3">
        <v>7</v>
      </c>
      <c r="AB52" s="3" t="s">
        <v>453</v>
      </c>
      <c r="AC52" s="3" t="s">
        <v>23</v>
      </c>
      <c r="AD52" s="3" t="s">
        <v>23</v>
      </c>
      <c r="AE52" s="3" t="s">
        <v>21</v>
      </c>
      <c r="AF52" s="3" t="s">
        <v>23</v>
      </c>
      <c r="AG52" s="3" t="s">
        <v>21</v>
      </c>
      <c r="AH52" s="15" t="str">
        <f>IFERROR(VLOOKUP(Form_Responses[[#This Row],[Nombre Técnico]],'masa de trabajo'!$B:$C,2,0),"")</f>
        <v>SI</v>
      </c>
      <c r="AI52" s="12" t="str">
        <f>VLOOKUP(Form_Responses[[#This Row],[Nombre Técnico]],'masa de trabajo'!$B:$E,3,0)</f>
        <v>SI</v>
      </c>
      <c r="AJ52" s="12" t="str">
        <f>VLOOKUP(Form_Responses[[#This Row],[Nombre Técnico]],'masa de trabajo'!$B:$E,4,0)</f>
        <v>Auque se nota una mejora, se realizara evantualemete seguimiento a los trabajos</v>
      </c>
    </row>
    <row r="53" spans="1:36" ht="15.75" customHeight="1" x14ac:dyDescent="0.25">
      <c r="A53" s="1">
        <v>46287.957272013889</v>
      </c>
      <c r="B53" s="10">
        <v>7</v>
      </c>
      <c r="C53" s="3" t="s">
        <v>454</v>
      </c>
      <c r="D53" s="3" t="s">
        <v>16</v>
      </c>
      <c r="E53" s="3" t="s">
        <v>17</v>
      </c>
      <c r="F53" s="3" t="s">
        <v>18</v>
      </c>
      <c r="G53" s="3" t="s">
        <v>18</v>
      </c>
      <c r="I53" s="3" t="s">
        <v>19</v>
      </c>
      <c r="J53" s="3" t="s">
        <v>65</v>
      </c>
      <c r="L53" s="3" t="s">
        <v>455</v>
      </c>
      <c r="N53" s="3" t="s">
        <v>23</v>
      </c>
      <c r="Q53" s="3" t="s">
        <v>23</v>
      </c>
      <c r="R53" s="3" t="s">
        <v>23</v>
      </c>
      <c r="S53" s="3" t="s">
        <v>456</v>
      </c>
      <c r="T53" s="3">
        <v>3</v>
      </c>
      <c r="U53" s="4" t="s">
        <v>457</v>
      </c>
      <c r="V53" s="4" t="s">
        <v>458</v>
      </c>
      <c r="W53" s="4" t="s">
        <v>459</v>
      </c>
      <c r="X53" s="4" t="s">
        <v>460</v>
      </c>
      <c r="Y53" s="3" t="s">
        <v>30</v>
      </c>
      <c r="Z53" s="3" t="s">
        <v>30</v>
      </c>
      <c r="AA53" s="3">
        <v>6</v>
      </c>
      <c r="AB53" s="3" t="s">
        <v>461</v>
      </c>
      <c r="AC53" s="3" t="s">
        <v>23</v>
      </c>
      <c r="AF53" s="3" t="s">
        <v>23</v>
      </c>
      <c r="AH53" s="15" t="str">
        <f>IFERROR(VLOOKUP(Form_Responses[[#This Row],[Nombre Técnico]],'masa de trabajo'!$B:$C,2,0),"")</f>
        <v>SI</v>
      </c>
      <c r="AI53" s="12" t="str">
        <f>VLOOKUP(Form_Responses[[#This Row],[Nombre Técnico]],'masa de trabajo'!$B:$E,3,0)</f>
        <v>SI</v>
      </c>
      <c r="AJ53" s="12" t="str">
        <f>VLOOKUP(Form_Responses[[#This Row],[Nombre Técnico]],'masa de trabajo'!$B:$E,4,0)</f>
        <v>-</v>
      </c>
    </row>
    <row r="54" spans="1:36" ht="15.75" customHeight="1" x14ac:dyDescent="0.25">
      <c r="A54" s="1">
        <v>46287.965805486107</v>
      </c>
      <c r="B54" s="10">
        <v>10</v>
      </c>
      <c r="C54" s="3" t="s">
        <v>462</v>
      </c>
      <c r="D54" s="3" t="s">
        <v>101</v>
      </c>
      <c r="E54" s="3" t="s">
        <v>17</v>
      </c>
      <c r="F54" s="3" t="s">
        <v>18</v>
      </c>
      <c r="G54" s="3" t="s">
        <v>18</v>
      </c>
      <c r="I54" s="3" t="s">
        <v>128</v>
      </c>
      <c r="J54" s="3" t="s">
        <v>41</v>
      </c>
      <c r="K54" s="3" t="s">
        <v>23</v>
      </c>
      <c r="L54" s="3" t="s">
        <v>463</v>
      </c>
      <c r="M54" s="3" t="s">
        <v>23</v>
      </c>
      <c r="N54" s="3" t="s">
        <v>23</v>
      </c>
      <c r="P54" s="3">
        <v>3</v>
      </c>
      <c r="Q54" s="3" t="s">
        <v>23</v>
      </c>
      <c r="R54" s="3" t="s">
        <v>23</v>
      </c>
      <c r="S54" s="3" t="s">
        <v>464</v>
      </c>
      <c r="T54" s="3">
        <v>3</v>
      </c>
      <c r="U54" s="4" t="s">
        <v>465</v>
      </c>
      <c r="V54" s="4" t="s">
        <v>466</v>
      </c>
      <c r="W54" s="4" t="s">
        <v>467</v>
      </c>
      <c r="X54" s="4" t="s">
        <v>468</v>
      </c>
      <c r="Y54" s="3" t="s">
        <v>30</v>
      </c>
      <c r="Z54" s="3" t="s">
        <v>30</v>
      </c>
      <c r="AA54" s="3">
        <v>6</v>
      </c>
      <c r="AB54" s="3" t="s">
        <v>453</v>
      </c>
      <c r="AC54" s="3" t="s">
        <v>23</v>
      </c>
      <c r="AD54" s="3" t="s">
        <v>23</v>
      </c>
      <c r="AE54" s="3" t="s">
        <v>21</v>
      </c>
      <c r="AF54" s="3" t="s">
        <v>23</v>
      </c>
      <c r="AG54" s="3" t="s">
        <v>21</v>
      </c>
      <c r="AH54" s="15" t="str">
        <f>IFERROR(VLOOKUP(Form_Responses[[#This Row],[Nombre Técnico]],'masa de trabajo'!$B:$C,2,0),"")</f>
        <v>SI</v>
      </c>
      <c r="AI54" s="12" t="str">
        <f>VLOOKUP(Form_Responses[[#This Row],[Nombre Técnico]],'masa de trabajo'!$B:$E,3,0)</f>
        <v>SI</v>
      </c>
      <c r="AJ54" s="12" t="str">
        <f>VLOOKUP(Form_Responses[[#This Row],[Nombre Técnico]],'masa de trabajo'!$B:$E,4,0)</f>
        <v>-</v>
      </c>
    </row>
    <row r="55" spans="1:36" ht="15.75" customHeight="1" x14ac:dyDescent="0.25">
      <c r="A55" s="1">
        <v>46287.972631261575</v>
      </c>
      <c r="B55" s="10">
        <v>10</v>
      </c>
      <c r="C55" s="3" t="s">
        <v>469</v>
      </c>
      <c r="D55" s="3" t="s">
        <v>348</v>
      </c>
      <c r="E55" s="3" t="s">
        <v>17</v>
      </c>
      <c r="F55" s="3" t="s">
        <v>18</v>
      </c>
      <c r="G55" s="3" t="s">
        <v>18</v>
      </c>
      <c r="I55" s="3" t="s">
        <v>19</v>
      </c>
      <c r="J55" s="3" t="s">
        <v>41</v>
      </c>
      <c r="K55" s="3" t="s">
        <v>23</v>
      </c>
      <c r="L55" s="3" t="s">
        <v>470</v>
      </c>
      <c r="M55" s="3" t="s">
        <v>23</v>
      </c>
      <c r="N55" s="3" t="s">
        <v>23</v>
      </c>
      <c r="P55" s="3">
        <v>1</v>
      </c>
      <c r="Q55" s="3" t="s">
        <v>23</v>
      </c>
      <c r="R55" s="3" t="s">
        <v>23</v>
      </c>
      <c r="S55" s="3" t="s">
        <v>471</v>
      </c>
      <c r="T55" s="3">
        <v>3</v>
      </c>
      <c r="U55" s="4" t="s">
        <v>472</v>
      </c>
      <c r="V55" s="4" t="s">
        <v>473</v>
      </c>
      <c r="W55" s="4" t="s">
        <v>474</v>
      </c>
      <c r="X55" s="4" t="s">
        <v>475</v>
      </c>
      <c r="Y55" s="3" t="s">
        <v>30</v>
      </c>
      <c r="Z55" s="3" t="s">
        <v>30</v>
      </c>
      <c r="AA55" s="3">
        <v>7</v>
      </c>
      <c r="AB55" s="3" t="s">
        <v>476</v>
      </c>
      <c r="AC55" s="3" t="s">
        <v>23</v>
      </c>
      <c r="AD55" s="3" t="s">
        <v>23</v>
      </c>
      <c r="AE55" s="3" t="s">
        <v>21</v>
      </c>
      <c r="AF55" s="3" t="s">
        <v>23</v>
      </c>
      <c r="AG55" s="3" t="s">
        <v>21</v>
      </c>
      <c r="AH55" s="15" t="str">
        <f>IFERROR(VLOOKUP(Form_Responses[[#This Row],[Nombre Técnico]],'masa de trabajo'!$B:$C,2,0),"")</f>
        <v>-</v>
      </c>
      <c r="AI55" s="12" t="str">
        <f>VLOOKUP(Form_Responses[[#This Row],[Nombre Técnico]],'masa de trabajo'!$B:$E,3,0)</f>
        <v>-</v>
      </c>
      <c r="AJ55" s="12" t="str">
        <f>VLOOKUP(Form_Responses[[#This Row],[Nombre Técnico]],'masa de trabajo'!$B:$E,4,0)</f>
        <v>-</v>
      </c>
    </row>
  </sheetData>
  <phoneticPr fontId="5" type="noConversion"/>
  <hyperlinks>
    <hyperlink ref="U2" r:id="rId1" xr:uid="{B3A5F38D-EDDF-4828-9702-C9236BDDA9B7}"/>
    <hyperlink ref="V2" r:id="rId2" xr:uid="{0DBBD551-8C7D-4139-9ED9-5BDE1E334094}"/>
    <hyperlink ref="W2" r:id="rId3" xr:uid="{ADF2E360-2B97-4F58-A084-246C0C10B92A}"/>
    <hyperlink ref="X2" r:id="rId4" xr:uid="{36BBE5B7-5D5A-4E82-8C60-D590E2CF7C13}"/>
    <hyperlink ref="U3" r:id="rId5" xr:uid="{72756C59-CEA6-4F85-BF1F-5222701B2965}"/>
    <hyperlink ref="V3" r:id="rId6" xr:uid="{F6193FD9-0793-4B78-BFF8-8FBAE0C14110}"/>
    <hyperlink ref="X3" r:id="rId7" xr:uid="{89DEE9F3-78FD-44EE-A407-B96B8ED63102}"/>
    <hyperlink ref="U4" r:id="rId8" xr:uid="{BDACBDE8-FA90-45CA-860D-AA595DAE6E8E}"/>
    <hyperlink ref="V4" r:id="rId9" xr:uid="{D086C867-55E8-4453-ADB6-24592F5D59FF}"/>
    <hyperlink ref="X4" r:id="rId10" xr:uid="{43A91B99-61AE-4372-9269-E51D66A00DDD}"/>
    <hyperlink ref="U5" r:id="rId11" xr:uid="{71AEC4F9-BF37-4C31-861B-AF1A43ED7B44}"/>
    <hyperlink ref="V5" r:id="rId12" xr:uid="{1C6DE4B2-65F1-4133-A433-F41BC76C2387}"/>
    <hyperlink ref="W5" r:id="rId13" xr:uid="{8FD7B858-0037-42C0-8540-31F5F46D0287}"/>
    <hyperlink ref="X5" r:id="rId14" xr:uid="{04D79B66-0448-4AEC-AD03-65182619AE84}"/>
    <hyperlink ref="U6" r:id="rId15" xr:uid="{2DD75C4A-343D-4A6F-A3C6-5E6223FCE922}"/>
    <hyperlink ref="V6" r:id="rId16" xr:uid="{EDBD85DD-A477-4DD7-A907-0C9D82505968}"/>
    <hyperlink ref="W6" r:id="rId17" xr:uid="{A3B8A259-C1EF-4184-A8C9-F7D0A82BF7FD}"/>
    <hyperlink ref="X6" r:id="rId18" xr:uid="{326C3368-D659-47BE-A645-39811A8E47C9}"/>
    <hyperlink ref="U7" r:id="rId19" xr:uid="{C33BF675-F160-41AF-933D-BE0313775D8A}"/>
    <hyperlink ref="V7" r:id="rId20" xr:uid="{791AAB93-ABBE-416E-B98F-75377C9EA140}"/>
    <hyperlink ref="X7" r:id="rId21" xr:uid="{4064B3F9-3D52-48AB-AA9B-A75BADD14785}"/>
    <hyperlink ref="U8" r:id="rId22" xr:uid="{0A8F9A9D-58B8-439B-807D-EA61FCC8B500}"/>
    <hyperlink ref="V8" r:id="rId23" xr:uid="{1B9377A0-3A0A-4B99-890B-CB6C6DDCD3DE}"/>
    <hyperlink ref="W8" r:id="rId24" xr:uid="{B2350013-22C1-4AD2-8F6A-A3A3D475AE8F}"/>
    <hyperlink ref="X8" r:id="rId25" xr:uid="{0F4EEFFD-E65E-4FD2-ACBF-063353BCF6BC}"/>
    <hyperlink ref="U9" r:id="rId26" xr:uid="{89246D6F-54E8-444E-B3B4-725DEB9B531E}"/>
    <hyperlink ref="V9" r:id="rId27" xr:uid="{C711B2D4-B9C4-46DF-B46A-276207CAE1D2}"/>
    <hyperlink ref="W9" r:id="rId28" xr:uid="{F09D6CCE-581E-44DB-B382-3A31BA02F0F0}"/>
    <hyperlink ref="X9" r:id="rId29" xr:uid="{A859C2E8-F4E1-4110-9911-6188EF7DCC95}"/>
    <hyperlink ref="U10" r:id="rId30" xr:uid="{7A2017B3-9B48-42CD-9461-EAFE1C4FD378}"/>
    <hyperlink ref="V10" r:id="rId31" xr:uid="{07EDE847-D1E0-467D-97FF-4E57CADF23D8}"/>
    <hyperlink ref="X10" r:id="rId32" xr:uid="{9014AB93-6E34-4800-B759-1643FD662C1D}"/>
    <hyperlink ref="U11" r:id="rId33" xr:uid="{9D94A5CA-036C-45BC-8678-EBC36C446B6A}"/>
    <hyperlink ref="V11" r:id="rId34" xr:uid="{5EE07356-74A4-436E-B5FB-27AFD76E88FC}"/>
    <hyperlink ref="W11" r:id="rId35" xr:uid="{957EC399-D4D7-4CB5-83E6-53D9A4B6B13E}"/>
    <hyperlink ref="X11" r:id="rId36" xr:uid="{297CC1DB-ACE7-4E0E-A35F-533150A2B6D1}"/>
    <hyperlink ref="U13" r:id="rId37" xr:uid="{1BB6373F-AC5D-4F2B-875D-7E5E42151527}"/>
    <hyperlink ref="V13" r:id="rId38" xr:uid="{D3837138-72C0-426D-89F0-0C19850E1F01}"/>
    <hyperlink ref="W13" r:id="rId39" xr:uid="{7D3CED0C-8C48-4E42-B42E-48735E2A4066}"/>
    <hyperlink ref="X13" r:id="rId40" xr:uid="{B2995FF1-1CD9-401D-B851-2518B19EE9F6}"/>
    <hyperlink ref="W14" r:id="rId41" xr:uid="{E748B020-A150-4129-9B73-74526908DE75}"/>
    <hyperlink ref="X14" r:id="rId42" xr:uid="{0A0818DE-4D47-4797-8078-D4E3714FE21E}"/>
    <hyperlink ref="U15" r:id="rId43" xr:uid="{C47DA0BA-66C6-4E06-B8D6-654A01B71AC5}"/>
    <hyperlink ref="V15" r:id="rId44" xr:uid="{B971A77D-07C6-47E8-842B-EBCC2B6EEE75}"/>
    <hyperlink ref="X15" r:id="rId45" xr:uid="{8C36CC5C-8593-443C-BE70-E1B24EC96CC1}"/>
    <hyperlink ref="U16" r:id="rId46" xr:uid="{AFCCFB44-51E4-4765-ABCD-C78E65C58F09}"/>
    <hyperlink ref="V16" r:id="rId47" xr:uid="{34AD1948-8C8F-472C-B392-0D8C3D62FF76}"/>
    <hyperlink ref="W16" r:id="rId48" xr:uid="{A51C0DF1-5B78-4EB1-9183-A5E0C9AA7F5A}"/>
    <hyperlink ref="X16" r:id="rId49" xr:uid="{D8ECE85C-8B29-4A80-A51E-C66000C26C97}"/>
    <hyperlink ref="U17" r:id="rId50" xr:uid="{B93A55FD-4F61-443C-91E9-CEEE21EEE85A}"/>
    <hyperlink ref="V17" r:id="rId51" xr:uid="{6B04102D-7C33-4072-8B00-A865E399C755}"/>
    <hyperlink ref="X17" r:id="rId52" xr:uid="{24081079-3941-4058-B74B-E24034383CC7}"/>
    <hyperlink ref="U18" r:id="rId53" xr:uid="{6F49DB97-AB04-461F-B3D0-6E6FF1213F10}"/>
    <hyperlink ref="V18" r:id="rId54" xr:uid="{9B3783AA-EE0F-4BFF-8A44-03986686CDE9}"/>
    <hyperlink ref="W18" r:id="rId55" xr:uid="{25C9ECAD-8FEA-4483-B0ED-633016342628}"/>
    <hyperlink ref="X18" r:id="rId56" xr:uid="{09AD9FFE-7ADA-4B2D-9DB6-44397DFD2303}"/>
    <hyperlink ref="U19" r:id="rId57" xr:uid="{FB911DC9-C0E3-4785-A075-9D1FA301E83E}"/>
    <hyperlink ref="V19" r:id="rId58" xr:uid="{C5E1F554-4DB6-4155-A995-B5CD912B6929}"/>
    <hyperlink ref="W19" r:id="rId59" xr:uid="{D30CB38E-C2A6-477E-BEE6-73E8B86E1A89}"/>
    <hyperlink ref="X19" r:id="rId60" xr:uid="{1B974ACE-D3E7-4D2A-99B5-87FBB8912EAD}"/>
    <hyperlink ref="U20" r:id="rId61" xr:uid="{D5BF16D5-5E77-4AE5-98CC-56481098CF96}"/>
    <hyperlink ref="V20" r:id="rId62" xr:uid="{A413F3A8-E91F-4186-9013-5D6C07EDD444}"/>
    <hyperlink ref="W20" r:id="rId63" xr:uid="{626E6DB1-E61F-4A17-9E63-72FB8A714CF1}"/>
    <hyperlink ref="X20" r:id="rId64" xr:uid="{0DCD3BD5-C312-4A90-85AE-6B93DA4831D8}"/>
    <hyperlink ref="U21" r:id="rId65" xr:uid="{7589D367-014B-4EBD-B01F-CBB244E262D7}"/>
    <hyperlink ref="V21" r:id="rId66" xr:uid="{3DEFAFB1-1827-4C71-AA39-4F79AB10CBC3}"/>
    <hyperlink ref="X21" r:id="rId67" xr:uid="{1935C7C7-16D5-4962-84FE-96CB298A1B01}"/>
    <hyperlink ref="U22" r:id="rId68" xr:uid="{617E869E-F49B-4F60-8A31-F001E08D8FA4}"/>
    <hyperlink ref="V22" r:id="rId69" xr:uid="{90254925-5566-43F5-9B2E-36D595044B96}"/>
    <hyperlink ref="W22" r:id="rId70" xr:uid="{A38BB7DF-DC5C-40AB-8FF9-4C8CD4A068A6}"/>
    <hyperlink ref="X22" r:id="rId71" xr:uid="{7F577F91-B9AC-4BC5-93FE-397F937B69C8}"/>
    <hyperlink ref="U23" r:id="rId72" xr:uid="{3FBD07D9-794F-49BE-B021-A6E40B8293BE}"/>
    <hyperlink ref="V23" r:id="rId73" xr:uid="{606361BF-1DDF-423F-B72A-3F0934C929E1}"/>
    <hyperlink ref="W23" r:id="rId74" xr:uid="{7D616A24-973D-46D3-BD21-24610A72EC2C}"/>
    <hyperlink ref="X23" r:id="rId75" xr:uid="{F403BDB0-6E22-4E04-93CD-53E45844E9BD}"/>
    <hyperlink ref="U24" r:id="rId76" xr:uid="{DA8D3516-E373-425D-B187-A7988FDCABB0}"/>
    <hyperlink ref="V24" r:id="rId77" xr:uid="{054E9506-4713-4490-BEF2-7113BBDFB4D4}"/>
    <hyperlink ref="W24" r:id="rId78" xr:uid="{B914E51B-DE4B-4078-B648-333B67EE76A1}"/>
    <hyperlink ref="X24" r:id="rId79" xr:uid="{9437CCE1-0C88-47D5-AE76-33B1516948DC}"/>
    <hyperlink ref="U25" r:id="rId80" xr:uid="{481B7474-922B-455B-B6F0-1AF397E0A09E}"/>
    <hyperlink ref="V25" r:id="rId81" xr:uid="{7D862C7A-4DA8-4C80-9BCE-9D4F3DA0EDB0}"/>
    <hyperlink ref="X25" r:id="rId82" xr:uid="{F64A4717-4587-4C2D-A3DC-8ED0586790F8}"/>
    <hyperlink ref="U26" r:id="rId83" xr:uid="{F19ADEA3-60EC-4310-8CF8-35C3430A1687}"/>
    <hyperlink ref="V26" r:id="rId84" xr:uid="{B7AB6255-DDC7-4F76-8FCA-B86C3323875A}"/>
    <hyperlink ref="W26" r:id="rId85" xr:uid="{134E78B0-F7A0-404B-B11F-E50F3CC92630}"/>
    <hyperlink ref="U27" r:id="rId86" xr:uid="{625D8FAC-B648-4088-A6AA-81D0861AFC3B}"/>
    <hyperlink ref="V27" r:id="rId87" xr:uid="{DD8D8B68-F9A7-4280-A574-724EE3504AC2}"/>
    <hyperlink ref="W27" r:id="rId88" xr:uid="{46EE0927-9FFF-426A-BF64-7E3B200C6277}"/>
    <hyperlink ref="X27" r:id="rId89" xr:uid="{4EFAC31D-C0B2-4178-98F7-08AF216FBBA0}"/>
    <hyperlink ref="U28" r:id="rId90" xr:uid="{69841135-B4E5-46CD-80F9-B2276B921FDA}"/>
    <hyperlink ref="V28" r:id="rId91" xr:uid="{5B91C613-A24E-4B87-B635-11F46013AA99}"/>
    <hyperlink ref="W28" r:id="rId92" xr:uid="{DAB71918-2A28-4E73-99B9-5F6DC1981716}"/>
    <hyperlink ref="X28" r:id="rId93" xr:uid="{37298348-8393-4E58-BF21-0ADD54C30B43}"/>
    <hyperlink ref="U29" r:id="rId94" xr:uid="{14BD1455-C7DE-4A10-B662-0863D92E30EB}"/>
    <hyperlink ref="V29" r:id="rId95" xr:uid="{DEDEC98B-A9D9-465C-A9E0-E0661456ABE8}"/>
    <hyperlink ref="W29" r:id="rId96" xr:uid="{15E3A5D2-3A09-430C-AC1B-A53B3244F14B}"/>
    <hyperlink ref="X29" r:id="rId97" xr:uid="{33FAD053-7B3D-450A-8014-B1B93476EB87}"/>
    <hyperlink ref="U30" r:id="rId98" xr:uid="{2BC70F2B-C42E-4081-A865-CAED98225680}"/>
    <hyperlink ref="V30" r:id="rId99" xr:uid="{819C9EF9-2A2F-441D-B1A6-7FCD95C9E72C}"/>
    <hyperlink ref="W30" r:id="rId100" xr:uid="{032D570A-87A6-43AC-B32B-4E26D665E4BB}"/>
    <hyperlink ref="X30" r:id="rId101" xr:uid="{E5BAC028-569D-4724-AA2B-A303C682EBDA}"/>
    <hyperlink ref="U31" r:id="rId102" xr:uid="{F7748380-CAB6-4192-BD85-07AE76A18A36}"/>
    <hyperlink ref="V31" r:id="rId103" xr:uid="{8383526A-9DD5-4777-8356-C38E3EE7EFA9}"/>
    <hyperlink ref="W31" r:id="rId104" xr:uid="{2C41F98F-CD32-4934-884D-39ABC3AA39BD}"/>
    <hyperlink ref="X31" r:id="rId105" xr:uid="{00D5BF34-479F-49F0-B76D-609BD69460D8}"/>
    <hyperlink ref="U32" r:id="rId106" xr:uid="{B3811D3A-2AD7-45FA-A428-868FFB93E7B6}"/>
    <hyperlink ref="V32" r:id="rId107" xr:uid="{4353677B-A942-4B87-913C-4DBCB42F9E52}"/>
    <hyperlink ref="W32" r:id="rId108" xr:uid="{33B58678-09CE-4E06-9458-35E3192DE525}"/>
    <hyperlink ref="X32" r:id="rId109" xr:uid="{7B57022A-B29D-4A18-8FCA-68553821CEA7}"/>
    <hyperlink ref="U33" r:id="rId110" xr:uid="{9EFBA8B9-706D-4883-8FAF-05DECBD32F71}"/>
    <hyperlink ref="V33" r:id="rId111" xr:uid="{B332B00B-020E-4874-B5FE-FAC2957E038B}"/>
    <hyperlink ref="W33" r:id="rId112" xr:uid="{759EB46D-E26B-4F44-AC88-CBE7E86A58AB}"/>
    <hyperlink ref="X33" r:id="rId113" xr:uid="{182509CF-B2FA-4DCE-8D62-2F22FFB08654}"/>
    <hyperlink ref="U34" r:id="rId114" xr:uid="{6DF4C7AA-250E-4DC5-AED0-B16700050F91}"/>
    <hyperlink ref="V34" r:id="rId115" xr:uid="{D29C034F-96B6-45E6-BDD8-521FB7936400}"/>
    <hyperlink ref="W34" r:id="rId116" xr:uid="{CE3A9D89-78E7-40A1-B669-C6147493E290}"/>
    <hyperlink ref="X34" r:id="rId117" xr:uid="{7351CA86-2A1D-4CC2-8C2B-B471F138062B}"/>
    <hyperlink ref="U35" r:id="rId118" xr:uid="{B9F13B63-D6DE-413C-A65E-775C45D1DE4F}"/>
    <hyperlink ref="V35" r:id="rId119" xr:uid="{343555E6-FC46-4C94-93D8-DB38D42D937A}"/>
    <hyperlink ref="W35" r:id="rId120" xr:uid="{47E853F4-3ECD-4B0E-9BD8-D2F6A34B9A9A}"/>
    <hyperlink ref="X35" r:id="rId121" xr:uid="{1A421245-0304-4810-BF05-E809F398E76D}"/>
    <hyperlink ref="U36" r:id="rId122" xr:uid="{E47F4A91-3CD1-4ACA-9C89-67A162236878}"/>
    <hyperlink ref="V36" r:id="rId123" xr:uid="{44858AD6-57F2-4C8B-82D1-D0CF96B15B9F}"/>
    <hyperlink ref="X36" r:id="rId124" xr:uid="{D1A4C8F3-5D12-45EC-AAD3-39D577D81B18}"/>
    <hyperlink ref="U37" r:id="rId125" xr:uid="{DE9D6634-E1A8-4A7A-B9B8-543CCBB11B53}"/>
    <hyperlink ref="V37" r:id="rId126" xr:uid="{C4DDA06C-AEFA-4409-B622-AEDFB36A4FE6}"/>
    <hyperlink ref="X37" r:id="rId127" xr:uid="{D018DADA-D92A-4053-8B42-0CF3D45FE7EB}"/>
    <hyperlink ref="U38" r:id="rId128" xr:uid="{72A79916-B101-45B8-B3F1-E3FD6975B549}"/>
    <hyperlink ref="V38" r:id="rId129" xr:uid="{E084271B-5102-46CA-BE6A-B4E1D89AE9A3}"/>
    <hyperlink ref="X38" r:id="rId130" xr:uid="{58439126-DAA2-49DF-9B0C-FD60CD573C83}"/>
    <hyperlink ref="U39" r:id="rId131" xr:uid="{CD9B502D-312B-4218-BA55-41A13AB300E8}"/>
    <hyperlink ref="V39" r:id="rId132" xr:uid="{29C8EE78-BC6D-4D2D-BA42-3A1A45EC0096}"/>
    <hyperlink ref="W39" r:id="rId133" xr:uid="{AF1F93B3-7D72-4328-AB61-0255A2508644}"/>
    <hyperlink ref="X39" r:id="rId134" xr:uid="{C5673770-FFFE-4A9B-BBE7-DE7CE0C38B8C}"/>
    <hyperlink ref="U40" r:id="rId135" xr:uid="{B5B153B8-73A9-43C0-A970-5C7713595E94}"/>
    <hyperlink ref="V40" r:id="rId136" xr:uid="{B986FE6C-7618-4826-90C2-80DCABF8FC4E}"/>
    <hyperlink ref="W40" r:id="rId137" xr:uid="{B64AFCBF-2172-4223-B149-6E9B340B4EF9}"/>
    <hyperlink ref="X40" r:id="rId138" xr:uid="{1C9E60DF-16AF-4108-8EBC-FD2188321680}"/>
    <hyperlink ref="U41" r:id="rId139" xr:uid="{6BFB4C02-1097-40C9-9217-ADAA1FDFD1F6}"/>
    <hyperlink ref="V41" r:id="rId140" xr:uid="{5EFD1353-6D55-42E1-A7A3-CFAB2E244F0C}"/>
    <hyperlink ref="W41" r:id="rId141" xr:uid="{0CEE35ED-672E-4F8C-8656-D7E8636384BB}"/>
    <hyperlink ref="X41" r:id="rId142" xr:uid="{E4202853-B5C0-4BA2-8A1E-CA1E84A6FCFB}"/>
    <hyperlink ref="U42" r:id="rId143" xr:uid="{C385271A-B3C0-4E84-A632-3C8F6437EC74}"/>
    <hyperlink ref="V42" r:id="rId144" xr:uid="{9BC551BC-88DD-4EBD-96E1-EBAC47EDAC4C}"/>
    <hyperlink ref="W42" r:id="rId145" xr:uid="{2F4568E5-31FC-45B4-9E08-C09983AB8554}"/>
    <hyperlink ref="X42" r:id="rId146" xr:uid="{889B9349-DC3D-4FB5-BD9B-9255B0DEB160}"/>
    <hyperlink ref="U43" r:id="rId147" xr:uid="{05F7E2BC-5900-4D6B-8E56-FDEB4609004E}"/>
    <hyperlink ref="V43" r:id="rId148" xr:uid="{9B179A54-72A9-45DD-96A9-165EBE85997E}"/>
    <hyperlink ref="W43" r:id="rId149" xr:uid="{BA02A9A3-7FC0-412E-ACD8-2DE257FC3BB8}"/>
    <hyperlink ref="X43" r:id="rId150" xr:uid="{3EF71326-1AF7-4D03-9B5A-5EF2F2632084}"/>
    <hyperlink ref="U44" r:id="rId151" xr:uid="{8FABFE51-4924-4C16-A82C-A551940E7AE3}"/>
    <hyperlink ref="V44" r:id="rId152" xr:uid="{1E0CC394-C3ED-48D2-A333-4345AB5E88D6}"/>
    <hyperlink ref="W44" r:id="rId153" xr:uid="{46BDD443-98C8-45D3-A7D8-F6785E911374}"/>
    <hyperlink ref="X44" r:id="rId154" xr:uid="{C7322890-8CEB-49C6-A399-30473F24EC47}"/>
    <hyperlink ref="U45" r:id="rId155" xr:uid="{DF5113DB-AF44-46FC-BD1C-004259FE1E46}"/>
    <hyperlink ref="V45" r:id="rId156" xr:uid="{AFC49FB9-E6F6-425D-A4F8-AF67DC742DBB}"/>
    <hyperlink ref="W45" r:id="rId157" xr:uid="{95758C4D-3EC4-4D00-A330-67D3B824AA3B}"/>
    <hyperlink ref="X45" r:id="rId158" xr:uid="{BFB4F511-B042-4A52-8348-DEF2DDFFB274}"/>
    <hyperlink ref="U46" r:id="rId159" xr:uid="{F0661BCA-41E5-4345-B031-90C3678C0BBA}"/>
    <hyperlink ref="V46" r:id="rId160" xr:uid="{C812D66D-92B3-4F3D-ACCA-F02CC4491533}"/>
    <hyperlink ref="W46" r:id="rId161" xr:uid="{12792CAE-4CF7-4930-8086-B768676E4BDF}"/>
    <hyperlink ref="X46" r:id="rId162" xr:uid="{B8EC95CB-84E2-4199-9460-8D4B12797C76}"/>
    <hyperlink ref="U47" r:id="rId163" xr:uid="{DB17285E-F840-4D6E-B1ED-76B59B0F6C32}"/>
    <hyperlink ref="V47" r:id="rId164" xr:uid="{296FB3F8-822A-4E06-9967-DF9E326482FF}"/>
    <hyperlink ref="W47" r:id="rId165" xr:uid="{CE0BC54E-4B01-481C-AC0E-C14FF643DB03}"/>
    <hyperlink ref="X47" r:id="rId166" xr:uid="{A1B01FDC-43D2-40E5-AD63-0C20F8217388}"/>
    <hyperlink ref="U48" r:id="rId167" xr:uid="{C38CF517-34E5-41FA-A361-5EF23BC1C3A5}"/>
    <hyperlink ref="V48" r:id="rId168" xr:uid="{77FD05FC-73FB-4F7C-AAA0-5FF5CED56608}"/>
    <hyperlink ref="W48" r:id="rId169" xr:uid="{C1C180AF-F19E-43F1-9084-9173A47774B1}"/>
    <hyperlink ref="X48" r:id="rId170" xr:uid="{EE0DD63B-2AFF-4ED0-904F-7E384C052377}"/>
    <hyperlink ref="U49" r:id="rId171" xr:uid="{20E631F9-2B0C-4CDA-A5C6-8BA11AF7E247}"/>
    <hyperlink ref="V49" r:id="rId172" xr:uid="{C8E2D86C-C898-4D27-952A-C3C1EDBFFEAF}"/>
    <hyperlink ref="W49" r:id="rId173" xr:uid="{32A687A4-CE0A-48DE-97A9-0B1479A78D55}"/>
    <hyperlink ref="X49" r:id="rId174" xr:uid="{901A7E71-4A94-40C9-B577-FCAB92593CC8}"/>
    <hyperlink ref="U50" r:id="rId175" xr:uid="{35A36B82-DF3E-4D98-B543-FFA4AEF73B8D}"/>
    <hyperlink ref="V50" r:id="rId176" xr:uid="{1CFFEF07-6327-45A1-93C7-31600551CCDA}"/>
    <hyperlink ref="X50" r:id="rId177" xr:uid="{D7CFE948-B2D5-408E-B42E-7F8AE2C9D59D}"/>
    <hyperlink ref="U51" r:id="rId178" xr:uid="{D9718A02-3A49-4BEB-854B-C095B9F76C31}"/>
    <hyperlink ref="V51" r:id="rId179" xr:uid="{A138B24F-AA46-431F-BCDF-35E8F473CE7F}"/>
    <hyperlink ref="W51" r:id="rId180" xr:uid="{59C6F935-9436-450B-A9B2-B328183F5E52}"/>
    <hyperlink ref="X51" r:id="rId181" xr:uid="{4C1AE58A-7E4D-48AA-B294-9A3F96411DB7}"/>
    <hyperlink ref="U52" r:id="rId182" xr:uid="{950F25AB-F90F-45A5-A2CD-A7F1893046B3}"/>
    <hyperlink ref="V52" r:id="rId183" xr:uid="{6E11E7D2-1A13-4208-9CEE-E915FC973AA9}"/>
    <hyperlink ref="W52" r:id="rId184" xr:uid="{5653FA69-B1A0-46BD-A0F6-7AB67CF14EB7}"/>
    <hyperlink ref="X52" r:id="rId185" xr:uid="{D9131B1C-B4CE-4F46-B3CA-7B833B2FEE6D}"/>
    <hyperlink ref="U53" r:id="rId186" xr:uid="{FF14CCAD-B305-4779-92AF-BA71914CB200}"/>
    <hyperlink ref="V53" r:id="rId187" xr:uid="{2BC456AD-A5E9-463F-BF47-9ADBA1D534EA}"/>
    <hyperlink ref="W53" r:id="rId188" xr:uid="{7AD421DE-50B0-4E24-98A2-ABECFA638C0D}"/>
    <hyperlink ref="X53" r:id="rId189" xr:uid="{B204C1C1-D076-4A5F-B505-7CA4A9BBA18E}"/>
    <hyperlink ref="U54" r:id="rId190" xr:uid="{7FFF031B-FD50-4ED5-B1B0-F277622CC50E}"/>
    <hyperlink ref="V54" r:id="rId191" xr:uid="{97672537-630A-42E2-A9B7-70F4785B5B12}"/>
    <hyperlink ref="W54" r:id="rId192" xr:uid="{62EC8669-543A-4117-8984-14A1B0B6EA6E}"/>
    <hyperlink ref="X54" r:id="rId193" xr:uid="{C33E003D-753F-4CAF-965F-C977A680DAA5}"/>
    <hyperlink ref="U55" r:id="rId194" xr:uid="{1434C0FF-4C18-4B6F-9B99-49E461E2E81B}"/>
    <hyperlink ref="V55" r:id="rId195" xr:uid="{2B11A316-756D-4CC5-A5E9-0F3B34FEF66B}"/>
    <hyperlink ref="W55" r:id="rId196" xr:uid="{A841B1CC-B3E3-46B3-84CC-34672B0E950B}"/>
    <hyperlink ref="X55" r:id="rId197" xr:uid="{478340C6-9F40-497C-A656-EF9F4B21CDD2}"/>
  </hyperlinks>
  <pageMargins left="0.7" right="0.7" top="0.75" bottom="0.75" header="0.3" footer="0.3"/>
  <tableParts count="1">
    <tablePart r:id="rId19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86AD5-214A-4E29-8C3C-D28012B13A5F}">
  <dimension ref="B1:E39"/>
  <sheetViews>
    <sheetView topLeftCell="A13" workbookViewId="0">
      <selection activeCell="E40" sqref="E40"/>
    </sheetView>
  </sheetViews>
  <sheetFormatPr baseColWidth="10" defaultRowHeight="13.2" x14ac:dyDescent="0.25"/>
  <cols>
    <col min="2" max="2" width="39" bestFit="1" customWidth="1"/>
    <col min="3" max="3" width="34" style="7" bestFit="1" customWidth="1"/>
    <col min="4" max="4" width="32.5546875" style="7" bestFit="1" customWidth="1"/>
    <col min="5" max="5" width="67.44140625" bestFit="1" customWidth="1"/>
  </cols>
  <sheetData>
    <row r="1" spans="2:5" x14ac:dyDescent="0.25">
      <c r="B1" s="9" t="s">
        <v>3</v>
      </c>
      <c r="C1" s="9" t="s">
        <v>48</v>
      </c>
      <c r="D1" s="9" t="s">
        <v>49</v>
      </c>
      <c r="E1" s="9" t="s">
        <v>50</v>
      </c>
    </row>
    <row r="2" spans="2:5" x14ac:dyDescent="0.25">
      <c r="B2" s="6" t="s">
        <v>101</v>
      </c>
      <c r="C2" s="7" t="s">
        <v>23</v>
      </c>
      <c r="D2" s="7" t="s">
        <v>23</v>
      </c>
      <c r="E2" t="s">
        <v>237</v>
      </c>
    </row>
    <row r="3" spans="2:5" x14ac:dyDescent="0.25">
      <c r="B3" s="8" t="s">
        <v>109</v>
      </c>
      <c r="C3" s="7" t="s">
        <v>237</v>
      </c>
      <c r="D3" s="7" t="s">
        <v>237</v>
      </c>
      <c r="E3" t="s">
        <v>237</v>
      </c>
    </row>
    <row r="4" spans="2:5" x14ac:dyDescent="0.25">
      <c r="B4" s="6" t="s">
        <v>127</v>
      </c>
      <c r="C4" s="7" t="s">
        <v>23</v>
      </c>
      <c r="D4" s="7" t="s">
        <v>23</v>
      </c>
      <c r="E4" t="s">
        <v>237</v>
      </c>
    </row>
    <row r="5" spans="2:5" x14ac:dyDescent="0.25">
      <c r="B5" s="8" t="s">
        <v>143</v>
      </c>
      <c r="C5" s="7" t="s">
        <v>237</v>
      </c>
      <c r="D5" s="7" t="s">
        <v>237</v>
      </c>
      <c r="E5" t="s">
        <v>237</v>
      </c>
    </row>
    <row r="6" spans="2:5" x14ac:dyDescent="0.25">
      <c r="B6" s="6" t="s">
        <v>143</v>
      </c>
      <c r="C6" s="7" t="s">
        <v>237</v>
      </c>
      <c r="D6" s="7" t="s">
        <v>237</v>
      </c>
      <c r="E6" t="s">
        <v>237</v>
      </c>
    </row>
    <row r="7" spans="2:5" x14ac:dyDescent="0.25">
      <c r="B7" s="8" t="s">
        <v>157</v>
      </c>
      <c r="C7" s="7" t="s">
        <v>237</v>
      </c>
      <c r="D7" s="7" t="s">
        <v>237</v>
      </c>
      <c r="E7" t="s">
        <v>237</v>
      </c>
    </row>
    <row r="8" spans="2:5" x14ac:dyDescent="0.25">
      <c r="B8" s="6" t="s">
        <v>165</v>
      </c>
      <c r="C8" s="7" t="s">
        <v>237</v>
      </c>
      <c r="D8" s="7" t="s">
        <v>237</v>
      </c>
      <c r="E8" t="s">
        <v>237</v>
      </c>
    </row>
    <row r="9" spans="2:5" x14ac:dyDescent="0.25">
      <c r="B9" s="6" t="s">
        <v>143</v>
      </c>
      <c r="C9" s="7" t="s">
        <v>237</v>
      </c>
      <c r="D9" s="7" t="s">
        <v>237</v>
      </c>
      <c r="E9" t="s">
        <v>237</v>
      </c>
    </row>
    <row r="10" spans="2:5" x14ac:dyDescent="0.25">
      <c r="B10" s="6" t="s">
        <v>101</v>
      </c>
      <c r="C10" s="7" t="s">
        <v>23</v>
      </c>
      <c r="D10" s="7" t="s">
        <v>23</v>
      </c>
      <c r="E10" t="s">
        <v>237</v>
      </c>
    </row>
    <row r="11" spans="2:5" x14ac:dyDescent="0.25">
      <c r="B11" s="6" t="s">
        <v>221</v>
      </c>
      <c r="C11" s="7" t="s">
        <v>237</v>
      </c>
      <c r="D11" s="7" t="s">
        <v>237</v>
      </c>
      <c r="E11" t="s">
        <v>237</v>
      </c>
    </row>
    <row r="12" spans="2:5" x14ac:dyDescent="0.25">
      <c r="B12" s="6" t="s">
        <v>101</v>
      </c>
      <c r="C12" s="7" t="s">
        <v>237</v>
      </c>
      <c r="D12" s="7" t="s">
        <v>237</v>
      </c>
      <c r="E12" t="s">
        <v>237</v>
      </c>
    </row>
    <row r="13" spans="2:5" x14ac:dyDescent="0.25">
      <c r="B13" s="6" t="s">
        <v>340</v>
      </c>
      <c r="C13" s="7" t="s">
        <v>237</v>
      </c>
      <c r="D13" s="7" t="s">
        <v>237</v>
      </c>
      <c r="E13" t="s">
        <v>237</v>
      </c>
    </row>
    <row r="14" spans="2:5" x14ac:dyDescent="0.25">
      <c r="B14" s="8" t="s">
        <v>348</v>
      </c>
      <c r="C14" s="7" t="s">
        <v>237</v>
      </c>
      <c r="D14" s="7" t="s">
        <v>237</v>
      </c>
      <c r="E14" t="s">
        <v>237</v>
      </c>
    </row>
    <row r="15" spans="2:5" x14ac:dyDescent="0.25">
      <c r="B15" s="6" t="s">
        <v>157</v>
      </c>
      <c r="C15" s="7" t="s">
        <v>237</v>
      </c>
      <c r="D15" s="7" t="s">
        <v>237</v>
      </c>
      <c r="E15" t="s">
        <v>237</v>
      </c>
    </row>
    <row r="16" spans="2:5" x14ac:dyDescent="0.25">
      <c r="B16" s="8" t="s">
        <v>364</v>
      </c>
      <c r="C16" s="7" t="s">
        <v>237</v>
      </c>
      <c r="D16" s="7" t="s">
        <v>237</v>
      </c>
      <c r="E16" t="s">
        <v>237</v>
      </c>
    </row>
    <row r="17" spans="2:5" x14ac:dyDescent="0.25">
      <c r="B17" s="6" t="s">
        <v>143</v>
      </c>
      <c r="C17" s="7" t="s">
        <v>237</v>
      </c>
      <c r="D17" s="7" t="s">
        <v>237</v>
      </c>
      <c r="E17" t="s">
        <v>237</v>
      </c>
    </row>
    <row r="18" spans="2:5" x14ac:dyDescent="0.25">
      <c r="B18" s="6" t="s">
        <v>16</v>
      </c>
      <c r="C18" s="7" t="s">
        <v>23</v>
      </c>
      <c r="D18" s="7" t="s">
        <v>23</v>
      </c>
      <c r="E18" t="s">
        <v>237</v>
      </c>
    </row>
    <row r="19" spans="2:5" x14ac:dyDescent="0.25">
      <c r="B19" s="8" t="s">
        <v>33</v>
      </c>
      <c r="C19" s="7" t="s">
        <v>23</v>
      </c>
      <c r="D19" s="7" t="s">
        <v>23</v>
      </c>
      <c r="E19" t="s">
        <v>117</v>
      </c>
    </row>
    <row r="20" spans="2:5" x14ac:dyDescent="0.25">
      <c r="B20" s="6" t="s">
        <v>33</v>
      </c>
      <c r="C20" s="7" t="s">
        <v>23</v>
      </c>
      <c r="D20" s="7" t="s">
        <v>23</v>
      </c>
      <c r="E20" t="s">
        <v>117</v>
      </c>
    </row>
    <row r="21" spans="2:5" x14ac:dyDescent="0.25">
      <c r="B21" s="8" t="s">
        <v>52</v>
      </c>
      <c r="C21" s="7" t="s">
        <v>23</v>
      </c>
      <c r="D21" s="7" t="s">
        <v>237</v>
      </c>
      <c r="E21" t="s">
        <v>237</v>
      </c>
    </row>
    <row r="22" spans="2:5" x14ac:dyDescent="0.25">
      <c r="B22" s="6" t="s">
        <v>63</v>
      </c>
      <c r="C22" s="7" t="s">
        <v>23</v>
      </c>
      <c r="D22" s="7" t="s">
        <v>23</v>
      </c>
      <c r="E22" t="s">
        <v>237</v>
      </c>
    </row>
    <row r="23" spans="2:5" x14ac:dyDescent="0.25">
      <c r="B23" s="8" t="s">
        <v>75</v>
      </c>
      <c r="C23" s="7" t="s">
        <v>23</v>
      </c>
      <c r="D23" s="7" t="s">
        <v>237</v>
      </c>
      <c r="E23" t="s">
        <v>237</v>
      </c>
    </row>
    <row r="24" spans="2:5" x14ac:dyDescent="0.25">
      <c r="B24" s="6" t="s">
        <v>84</v>
      </c>
      <c r="C24" s="7" t="s">
        <v>23</v>
      </c>
      <c r="D24" s="7" t="s">
        <v>23</v>
      </c>
      <c r="E24" t="s">
        <v>237</v>
      </c>
    </row>
    <row r="25" spans="2:5" x14ac:dyDescent="0.25">
      <c r="B25" s="8" t="s">
        <v>52</v>
      </c>
      <c r="C25" s="7" t="s">
        <v>23</v>
      </c>
      <c r="D25" s="7" t="s">
        <v>237</v>
      </c>
      <c r="E25" t="s">
        <v>237</v>
      </c>
    </row>
    <row r="26" spans="2:5" x14ac:dyDescent="0.25">
      <c r="B26" s="8" t="s">
        <v>174</v>
      </c>
      <c r="C26" s="7" t="s">
        <v>23</v>
      </c>
      <c r="D26" s="7" t="s">
        <v>23</v>
      </c>
      <c r="E26" t="s">
        <v>237</v>
      </c>
    </row>
    <row r="27" spans="2:5" x14ac:dyDescent="0.25">
      <c r="B27" s="8" t="s">
        <v>63</v>
      </c>
      <c r="C27" s="7" t="s">
        <v>23</v>
      </c>
      <c r="D27" s="7" t="s">
        <v>237</v>
      </c>
      <c r="E27" t="s">
        <v>237</v>
      </c>
    </row>
    <row r="28" spans="2:5" x14ac:dyDescent="0.25">
      <c r="B28" s="8" t="s">
        <v>84</v>
      </c>
      <c r="C28" s="7" t="s">
        <v>23</v>
      </c>
      <c r="D28" s="7" t="s">
        <v>237</v>
      </c>
      <c r="E28" t="s">
        <v>237</v>
      </c>
    </row>
    <row r="29" spans="2:5" x14ac:dyDescent="0.25">
      <c r="B29" s="6" t="s">
        <v>63</v>
      </c>
      <c r="C29" s="7" t="s">
        <v>23</v>
      </c>
      <c r="D29" s="7" t="s">
        <v>237</v>
      </c>
      <c r="E29" t="s">
        <v>237</v>
      </c>
    </row>
    <row r="30" spans="2:5" x14ac:dyDescent="0.25">
      <c r="B30" s="8" t="s">
        <v>221</v>
      </c>
      <c r="C30" s="7" t="s">
        <v>23</v>
      </c>
      <c r="D30" s="7" t="s">
        <v>23</v>
      </c>
      <c r="E30" t="s">
        <v>237</v>
      </c>
    </row>
    <row r="31" spans="2:5" x14ac:dyDescent="0.25">
      <c r="B31" s="8" t="s">
        <v>75</v>
      </c>
      <c r="C31" s="7" t="s">
        <v>23</v>
      </c>
      <c r="D31" s="7" t="s">
        <v>237</v>
      </c>
      <c r="E31" t="s">
        <v>237</v>
      </c>
    </row>
    <row r="32" spans="2:5" x14ac:dyDescent="0.25">
      <c r="B32" s="6" t="s">
        <v>221</v>
      </c>
      <c r="C32" s="7" t="s">
        <v>23</v>
      </c>
      <c r="D32" s="7" t="s">
        <v>23</v>
      </c>
      <c r="E32" t="s">
        <v>237</v>
      </c>
    </row>
    <row r="33" spans="2:5" x14ac:dyDescent="0.25">
      <c r="B33" s="8" t="s">
        <v>253</v>
      </c>
      <c r="C33" s="7" t="s">
        <v>23</v>
      </c>
      <c r="D33" s="7" t="s">
        <v>23</v>
      </c>
      <c r="E33" t="s">
        <v>237</v>
      </c>
    </row>
    <row r="34" spans="2:5" x14ac:dyDescent="0.25">
      <c r="B34" s="6" t="s">
        <v>84</v>
      </c>
      <c r="C34" s="7" t="s">
        <v>23</v>
      </c>
      <c r="D34" s="7" t="s">
        <v>23</v>
      </c>
      <c r="E34" t="s">
        <v>237</v>
      </c>
    </row>
    <row r="35" spans="2:5" x14ac:dyDescent="0.25">
      <c r="B35" s="8" t="s">
        <v>221</v>
      </c>
      <c r="C35" s="7" t="s">
        <v>23</v>
      </c>
      <c r="D35" s="7" t="s">
        <v>23</v>
      </c>
      <c r="E35" t="s">
        <v>237</v>
      </c>
    </row>
    <row r="36" spans="2:5" x14ac:dyDescent="0.25">
      <c r="B36" s="6" t="s">
        <v>277</v>
      </c>
      <c r="C36" s="7" t="s">
        <v>23</v>
      </c>
      <c r="D36" s="7" t="s">
        <v>237</v>
      </c>
      <c r="E36" t="s">
        <v>237</v>
      </c>
    </row>
    <row r="37" spans="2:5" x14ac:dyDescent="0.25">
      <c r="B37" s="8" t="s">
        <v>253</v>
      </c>
      <c r="C37" s="7" t="s">
        <v>23</v>
      </c>
      <c r="D37" s="7" t="s">
        <v>23</v>
      </c>
      <c r="E37" t="s">
        <v>237</v>
      </c>
    </row>
    <row r="38" spans="2:5" x14ac:dyDescent="0.25">
      <c r="B38" s="6" t="s">
        <v>221</v>
      </c>
      <c r="C38" s="7" t="s">
        <v>23</v>
      </c>
      <c r="D38" s="7" t="s">
        <v>23</v>
      </c>
      <c r="E38" t="s">
        <v>237</v>
      </c>
    </row>
    <row r="39" spans="2:5" x14ac:dyDescent="0.25">
      <c r="B39" s="8" t="s">
        <v>63</v>
      </c>
      <c r="C39" s="7" t="s">
        <v>23</v>
      </c>
      <c r="D39" s="7" t="s">
        <v>237</v>
      </c>
      <c r="E39" t="s">
        <v>237</v>
      </c>
    </row>
  </sheetData>
  <autoFilter ref="B1:D39" xr:uid="{77B86AD5-214A-4E29-8C3C-D28012B13A5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Respuestas de formulario 1</vt:lpstr>
      <vt:lpstr>masa de 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JHONATHAN VODNIZZA KINGMA</dc:creator>
  <cp:lastModifiedBy>JHONATHAN VODNIZZA KINGMA</cp:lastModifiedBy>
  <dcterms:created xsi:type="dcterms:W3CDTF">2026-08-07T18:02:27Z</dcterms:created>
  <dcterms:modified xsi:type="dcterms:W3CDTF">2026-09-23T12:57:58Z</dcterms:modified>
</cp:coreProperties>
</file>