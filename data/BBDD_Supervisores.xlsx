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AuditoriasTerreno\data\"/>
    </mc:Choice>
  </mc:AlternateContent>
  <xr:revisionPtr revIDLastSave="0" documentId="13_ncr:1_{63C53054-2907-4891-9B23-2ABDFE197279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Respuestas de formulario 1" sheetId="1" r:id="rId1"/>
    <sheet name="masa de trabaj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12" i="1" l="1"/>
  <c r="AH3" i="1"/>
  <c r="AH4" i="1"/>
  <c r="AH5" i="1"/>
  <c r="AH6" i="1"/>
  <c r="AH7" i="1"/>
  <c r="AH8" i="1"/>
  <c r="AH9" i="1"/>
  <c r="AH10" i="1"/>
  <c r="AH11" i="1"/>
  <c r="AH2" i="1"/>
</calcChain>
</file>

<file path=xl/sharedStrings.xml><?xml version="1.0" encoding="utf-8"?>
<sst xmlns="http://schemas.openxmlformats.org/spreadsheetml/2006/main" count="280" uniqueCount="143">
  <si>
    <t>Marca temporal</t>
  </si>
  <si>
    <t>Puntuación</t>
  </si>
  <si>
    <t xml:space="preserve">N° PETICIÓN </t>
  </si>
  <si>
    <t>Nombre Técnico</t>
  </si>
  <si>
    <t>SUPERVISOR</t>
  </si>
  <si>
    <t>Se ejecuto la actividad</t>
  </si>
  <si>
    <t>Se concreta auditoria?</t>
  </si>
  <si>
    <t>Motivo de la derivación</t>
  </si>
  <si>
    <t>Repetidor Cableado</t>
  </si>
  <si>
    <t>Cantidad Decodificadores</t>
  </si>
  <si>
    <t>Capacitación  al Cliente</t>
  </si>
  <si>
    <t xml:space="preserve">Nota de Estética del cableado </t>
  </si>
  <si>
    <t>Fotografía  Módem</t>
  </si>
  <si>
    <t>Fotografías</t>
  </si>
  <si>
    <t xml:space="preserve">Técnico cumple correctamente con su función?  </t>
  </si>
  <si>
    <t>1-3MZZBB80</t>
  </si>
  <si>
    <t>FERNANDO ALEXIS SANCHEZ ZAMORA</t>
  </si>
  <si>
    <t>JULIO CABRERA</t>
  </si>
  <si>
    <t>Si</t>
  </si>
  <si>
    <t>En Conjunto con Técnico</t>
  </si>
  <si>
    <t>Migracion</t>
  </si>
  <si>
    <t>NO</t>
  </si>
  <si>
    <t>Puerto de palos 38</t>
  </si>
  <si>
    <t>SI</t>
  </si>
  <si>
    <t>Solo internet</t>
  </si>
  <si>
    <t>Michelle Hernandez</t>
  </si>
  <si>
    <t>https://drive.google.com/open?id=1eLiAAX-JitqlZ_Uy1Wtqd-BaYuer__sy</t>
  </si>
  <si>
    <t>https://drive.google.com/open?id=1M5W9rcXFlyTmREE9KJFCGx1z3V3z78jK</t>
  </si>
  <si>
    <t>https://drive.google.com/open?id=1KsGJ-oxout_7n7kZQlBeuIYexSo59vI8</t>
  </si>
  <si>
    <t>https://drive.google.com/open?id=1ugWq8gxEvzZ3Zrq6Vt4RfT-zPz7aB4ol</t>
  </si>
  <si>
    <t>Si Cumple</t>
  </si>
  <si>
    <t>Drop sin soportes , faltó pasamuro.</t>
  </si>
  <si>
    <t>1-3NOSIUO9</t>
  </si>
  <si>
    <t>ALMAZABAL TORO ALEJANDRO ADRIAN</t>
  </si>
  <si>
    <t>Lago Zenteno 1530</t>
  </si>
  <si>
    <t>Isabel Barraza</t>
  </si>
  <si>
    <t>https://drive.google.com/open?id=12iqDQ8PRPzKO0ZtxepVFD_lo9Oak1i0A</t>
  </si>
  <si>
    <t>https://drive.google.com/open?id=1kU25jEZiCTDYyeWXk7c2rwKjJW51ip9r</t>
  </si>
  <si>
    <t>https://drive.google.com/open?id=1JiROAHGcZpKBb8AYqsKEkaQIUwITYdd-</t>
  </si>
  <si>
    <t>Instalación interior edificio no lleva pasamuro.</t>
  </si>
  <si>
    <t>1-3N1EXH6Z</t>
  </si>
  <si>
    <t>Instalacion</t>
  </si>
  <si>
    <t>Variante Agua Santa 1400</t>
  </si>
  <si>
    <t>Doris Perez</t>
  </si>
  <si>
    <t>https://drive.google.com/open?id=1fjU3RvPo3EX5BcpGMOPN3bz-u6iU2Q4I</t>
  </si>
  <si>
    <t>https://drive.google.com/open?id=17lXQX1mTuaoqy9ifOYdLztSv-UjgbzJ7</t>
  </si>
  <si>
    <t>https://drive.google.com/open?id=1ecPUCwGEQYjplmfEYtFc221G1_0qA_T9</t>
  </si>
  <si>
    <t>Instalación por ductos , no lleva pasamuros.</t>
  </si>
  <si>
    <t>Se llevó a cabo la mesa de trabajo.</t>
  </si>
  <si>
    <t>Se cerró el proceso con el técnico?</t>
  </si>
  <si>
    <t xml:space="preserve">Observaciones </t>
  </si>
  <si>
    <t>1-3N1OD3VC</t>
  </si>
  <si>
    <t>LUIS ROBERTO QUIROGA SEGUEL</t>
  </si>
  <si>
    <t>DANILO OJEDA</t>
  </si>
  <si>
    <t>Modificacion</t>
  </si>
  <si>
    <t xml:space="preserve">Pasaje diesiseis 4576, Quinta Normal </t>
  </si>
  <si>
    <t xml:space="preserve">Alvara Ceron </t>
  </si>
  <si>
    <t>https://drive.google.com/open?id=1xRoqVLV7TnRBkCtOSTEgYjJzWnnxmSh9</t>
  </si>
  <si>
    <t>https://drive.google.com/open?id=1HftL8nuwMbjUi_N_uPN54iieHc1SNhZ7</t>
  </si>
  <si>
    <t>https://drive.google.com/open?id=19_stumq0aaIfxRLjsrQcctleoeYxzyCD</t>
  </si>
  <si>
    <t>https://drive.google.com/open?id=1IfDHf1Ap0Yyo32pZFKUGiyCTMwkquF8X</t>
  </si>
  <si>
    <t xml:space="preserve">No instala soporte drop, la capacitación sobre el uso del control, cliente manifestó que su hija lo vería después, ella no quedo clara, roseta instalada sobre 30 centímetros a petición de cliente. </t>
  </si>
  <si>
    <t>1-3N3QTY2X</t>
  </si>
  <si>
    <t>BENJAMIN ALEJANDRO PEREZ POVEDA</t>
  </si>
  <si>
    <t>ROLANDO MOTOYA</t>
  </si>
  <si>
    <t>Reparacion</t>
  </si>
  <si>
    <t>MEXICO 1163</t>
  </si>
  <si>
    <t xml:space="preserve">DANES AMADOR SABA MIOSOTI </t>
  </si>
  <si>
    <t>https://drive.google.com/open?id=1Ct3HMcGgtkRN1ays-ZSxeiG2cr3txlbM</t>
  </si>
  <si>
    <t>https://drive.google.com/open?id=1cAg185xHKS5Jvh4Ti7ijYMyyD7sf934v</t>
  </si>
  <si>
    <t>https://drive.google.com/open?id=1FMSZOl4jm7NCv0YV2I76OTv48kR4YjC0</t>
  </si>
  <si>
    <t>https://drive.google.com/open?id=1n6c6KG1MLLnZmc2xervPDiZcGEiOiCyi</t>
  </si>
  <si>
    <t>No Cumple</t>
  </si>
  <si>
    <t>Tecnico no utiliza one click segun procedimiento
Cliente en reparacion representa problemas de inestabilidad en navegación ,desconexiones y lentitud en descargas
Se verifica cobertura con app wifi analizar encontrando problemas de cobertura( -63dbm) ,se solicita repetidor wifi como mejoramiento de servicio en petición 1-3N4VBVMB quedando con -44 dbm -50 dbm y -38 dbm..veloc.en app marca 544 Mbps en domicilio ..se prueba conexiones con cliente quedando conforme .
Nota se debió solicitar repetidor desde la.peticion de instalacion por técnico instalador de otras eps</t>
  </si>
  <si>
    <t>1-3N1EXTB4</t>
  </si>
  <si>
    <t>JORGE LUIS REYES TOLOZA</t>
  </si>
  <si>
    <t xml:space="preserve">Alsino 4691 torre B dpto 54, Quinta Normal </t>
  </si>
  <si>
    <t>No</t>
  </si>
  <si>
    <t>MINERVA DEL CARMEN LLANOS SANHUEZA</t>
  </si>
  <si>
    <t>https://drive.google.com/open?id=1YKKAkGD4EQW-dPfPbHSEbpsBuE7HuDQ2</t>
  </si>
  <si>
    <t>https://drive.google.com/open?id=1PhtfDwK7_KSjjmrTzZRu8eaRaS76mByG</t>
  </si>
  <si>
    <t>https://drive.google.com/open?id=1qvV5AHtlp5_I4SZ6Ec-EBbt55zMespJ8</t>
  </si>
  <si>
    <t>No limpia fibra con alcohol isopropilico, no capacita a cliente</t>
  </si>
  <si>
    <t>1-3N4ZJYPV</t>
  </si>
  <si>
    <t>EUDIS JESUS ALDAMA MARIN</t>
  </si>
  <si>
    <t xml:space="preserve">Freirina 2024, Independencia </t>
  </si>
  <si>
    <t>Guillermina Retamal Barrera</t>
  </si>
  <si>
    <t>https://drive.google.com/open?id=1WwnXsHKOqdcxhVKy7K78PfZqcdpIXWPD</t>
  </si>
  <si>
    <t>https://drive.google.com/open?id=1a49an2Uxx5--xhVG5AJh9DzmiTTr-8zE</t>
  </si>
  <si>
    <t>https://drive.google.com/open?id=1cFFm7QlOqMpnPhvBRjg5rcmtQTiDSSzl</t>
  </si>
  <si>
    <t>https://drive.google.com/open?id=1hUQTu7-Yh2d6RG0qCUag9TKWRnYl2eLN</t>
  </si>
  <si>
    <t>No instala pasa muros, cliente posee adaptador de red para decodificador por cobertura</t>
  </si>
  <si>
    <t>1-3N38LO21</t>
  </si>
  <si>
    <t xml:space="preserve">Neuquen 1658, Quinta Normal </t>
  </si>
  <si>
    <t>Jonhy Arevalo</t>
  </si>
  <si>
    <t>https://drive.google.com/open?id=1nF8b6PoUw5jmaMs3GmfPKH9f_sIPQnnU</t>
  </si>
  <si>
    <t>https://drive.google.com/open?id=1bm95wbg0W4QfOhTQ-l3iSNpuXZbayYdA</t>
  </si>
  <si>
    <t>https://drive.google.com/open?id=13gcBcAKvwZidaHyvwSsOryf5yBWRFTBU</t>
  </si>
  <si>
    <t>https://drive.google.com/open?id=1_qsmYESpm1TZYZBTcSA0bVI1OVnaOqPZ</t>
  </si>
  <si>
    <t>No limpia fibra con alcohol isopropilico fibra</t>
  </si>
  <si>
    <t xml:space="preserve">Nombre </t>
  </si>
  <si>
    <t>1-3N5HPGPG</t>
  </si>
  <si>
    <t>LUIS ROBERTO BAIGORRIA CORDOVA</t>
  </si>
  <si>
    <t>Jackson 785 torre Y depto. 201</t>
  </si>
  <si>
    <t>Andrés Díaz y Sra.</t>
  </si>
  <si>
    <t>https://drive.google.com/open?id=1CSmuYQmqrvrMUUa4nf16cG0GkGD3SynA</t>
  </si>
  <si>
    <t>https://drive.google.com/open?id=1C7xbpqRZdhbFYfcF4iO3wNkPMuE8MDbR</t>
  </si>
  <si>
    <t>https://drive.google.com/open?id=1I5m3DHoB2XXOa5jOrNIsndX1rQFjkuR3</t>
  </si>
  <si>
    <t>Roseta con clavo , pilar del edificio concreto.</t>
  </si>
  <si>
    <t>1-3N6QA80X</t>
  </si>
  <si>
    <t>MARCO ALEXANDER BENITEZ FERNANDEZ</t>
  </si>
  <si>
    <t>Rodolfo Mondolfo 6865, Quinta Normal</t>
  </si>
  <si>
    <t>LEONARDO ENRIQUE ROLACK REBOLLEDO</t>
  </si>
  <si>
    <t>https://drive.google.com/open?id=1OP1hPRSdOrAR3cXLiyxw1o2ogy31xmuT</t>
  </si>
  <si>
    <t>https://drive.google.com/open?id=1OujuqSLPbgqHCXkRhnw6h9V5HL8K4Mfe</t>
  </si>
  <si>
    <t>https://drive.google.com/open?id=1WN_3WV6vkXedBc7VCDP6LUrRSoYcekyB</t>
  </si>
  <si>
    <t>https://drive.google.com/open?id=1HSK3BJ7Qx0WE7hATyxPl7JT9fsOOK1DZ</t>
  </si>
  <si>
    <t xml:space="preserve">Roseta instalada fuera de norma a petición de cliente, técnico cumple protocolo según informado hoy a todo el plantel en reunión. Queda pendiente auditoria post instalación </t>
  </si>
  <si>
    <t>Auque se nota una mejora, se realizara evantualemete seguimiento a los trabajos</t>
  </si>
  <si>
    <t>Auditoria</t>
  </si>
  <si>
    <t>Actividad</t>
  </si>
  <si>
    <t>Instala drop con soportes</t>
  </si>
  <si>
    <t xml:space="preserve">Utiliza OneClick para realizar limpieza a conectores </t>
  </si>
  <si>
    <t xml:space="preserve">Drop se encuentra encuentra dentro de norma de instalaciones </t>
  </si>
  <si>
    <t xml:space="preserve">Reutiliza Instalación </t>
  </si>
  <si>
    <t xml:space="preserve">Utiliza Alcohol isopropilico </t>
  </si>
  <si>
    <t xml:space="preserve">Reutiliza Instalación de otra compañía </t>
  </si>
  <si>
    <t>1-3N5LOYRR</t>
  </si>
  <si>
    <t>BRAULIO DANILO DIAZ CORNEJO</t>
  </si>
  <si>
    <t>Post Instalacion</t>
  </si>
  <si>
    <t>San Francisco 32 efif.H</t>
  </si>
  <si>
    <t>Graciela Toro</t>
  </si>
  <si>
    <t>Instalación acorde a los procedimientos.</t>
  </si>
  <si>
    <r>
      <rPr>
        <b/>
        <sz val="10"/>
        <color theme="0"/>
        <rFont val="Arial"/>
        <family val="2"/>
      </rPr>
      <t xml:space="preserve">DIRECCIÓN </t>
    </r>
    <r>
      <rPr>
        <i/>
        <sz val="10"/>
        <color theme="0"/>
        <rFont val="Arial"/>
        <family val="2"/>
      </rPr>
      <t>(Calle - Numero)</t>
    </r>
    <r>
      <rPr>
        <sz val="10"/>
        <color theme="0"/>
        <rFont val="Arial"/>
        <family val="2"/>
      </rPr>
      <t xml:space="preserve"> </t>
    </r>
  </si>
  <si>
    <r>
      <rPr>
        <b/>
        <sz val="10"/>
        <color theme="0"/>
        <rFont val="Arial"/>
        <family val="2"/>
      </rPr>
      <t>Instala Pasa-muros</t>
    </r>
    <r>
      <rPr>
        <sz val="10"/>
        <color theme="0"/>
        <rFont val="Arial"/>
        <family val="2"/>
      </rPr>
      <t xml:space="preserve"> </t>
    </r>
  </si>
  <si>
    <r>
      <rPr>
        <b/>
        <sz val="10"/>
        <color theme="0"/>
        <rFont val="Arial"/>
        <family val="2"/>
      </rPr>
      <t>Roseta Óptica en norma y atornillada</t>
    </r>
    <r>
      <rPr>
        <sz val="10"/>
        <color theme="0"/>
        <rFont val="Arial"/>
        <family val="2"/>
      </rPr>
      <t xml:space="preserve"> </t>
    </r>
  </si>
  <si>
    <r>
      <rPr>
        <b/>
        <sz val="10"/>
        <color theme="0"/>
        <rFont val="Arial"/>
        <family val="2"/>
      </rPr>
      <t>Deja Área de Trabajo Limpio</t>
    </r>
    <r>
      <rPr>
        <sz val="10"/>
        <color theme="0"/>
        <rFont val="Arial"/>
        <family val="2"/>
      </rPr>
      <t xml:space="preserve"> </t>
    </r>
  </si>
  <si>
    <r>
      <rPr>
        <b/>
        <sz val="10"/>
        <color theme="0"/>
        <rFont val="Arial"/>
        <family val="2"/>
      </rPr>
      <t>Quien recibe en domicilio</t>
    </r>
  </si>
  <si>
    <r>
      <rPr>
        <b/>
        <sz val="10"/>
        <color theme="0"/>
        <rFont val="Arial"/>
        <family val="2"/>
      </rPr>
      <t>Fotografía Roseta  Óptica Atornillada</t>
    </r>
    <r>
      <rPr>
        <sz val="10"/>
        <color theme="0"/>
        <rFont val="Arial"/>
        <family val="2"/>
      </rPr>
      <t xml:space="preserve"> </t>
    </r>
  </si>
  <si>
    <r>
      <rPr>
        <b/>
        <sz val="10"/>
        <color theme="0"/>
        <rFont val="Arial"/>
        <family val="2"/>
      </rPr>
      <t>Fotografías Pasa-muros</t>
    </r>
    <r>
      <rPr>
        <sz val="10"/>
        <color theme="0"/>
        <rFont val="Arial"/>
        <family val="2"/>
      </rPr>
      <t xml:space="preserve"> </t>
    </r>
  </si>
  <si>
    <r>
      <rPr>
        <b/>
        <sz val="10"/>
        <color theme="0"/>
        <rFont val="Arial"/>
        <family val="2"/>
      </rPr>
      <t>Estado Auditoria</t>
    </r>
    <r>
      <rPr>
        <sz val="10"/>
        <color theme="0"/>
        <rFont val="Arial"/>
        <family val="2"/>
      </rPr>
      <t xml:space="preserve"> </t>
    </r>
  </si>
  <si>
    <r>
      <rPr>
        <b/>
        <sz val="10"/>
        <color theme="0"/>
        <rFont val="Arial"/>
        <family val="2"/>
      </rPr>
      <t>Con que nota se evalúa al técnico</t>
    </r>
    <r>
      <rPr>
        <sz val="10"/>
        <color theme="0"/>
        <rFont val="Arial"/>
        <family val="2"/>
      </rPr>
      <t xml:space="preserve"> </t>
    </r>
  </si>
  <si>
    <r>
      <rPr>
        <b/>
        <sz val="10"/>
        <color theme="0"/>
        <rFont val="Arial"/>
        <family val="2"/>
      </rPr>
      <t>Observaciones (</t>
    </r>
    <r>
      <rPr>
        <sz val="10"/>
        <color theme="0"/>
        <rFont val="Arial"/>
        <family val="2"/>
      </rPr>
      <t>detallar observaciones</t>
    </r>
    <r>
      <rPr>
        <b/>
        <sz val="10"/>
        <color theme="0"/>
        <rFont val="Arial"/>
        <family val="2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</si>
</sst>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m/d/yyyy\ h:mm:ss"/>
    <numFmt numFmtId="165" formatCode="0&quot; / 26&quot;"/>
    <numFmt numFmtId="166" formatCode="0&quot; / 31&quot;"/>
  </numFmts>
  <fonts count="10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Roboto"/>
    </font>
    <font>
      <sz val="10"/>
      <color theme="0"/>
      <name val="Arial"/>
      <family val="2"/>
      <scheme val="minor"/>
    </font>
    <font>
      <sz val="11"/>
      <color rgb="FF006100"/>
      <name val="Arial"/>
      <family val="2"/>
      <scheme val="minor"/>
    </font>
    <font>
      <sz val="8"/>
      <name val="Arial"/>
      <scheme val="minor"/>
    </font>
    <font>
      <b/>
      <sz val="10"/>
      <color theme="0"/>
      <name val="Arial"/>
      <family val="2"/>
      <scheme val="minor"/>
    </font>
    <font>
      <b/>
      <sz val="10"/>
      <color theme="0"/>
      <name val="Arial"/>
      <family val="2"/>
    </font>
    <font>
      <i/>
      <sz val="10"/>
      <color theme="0"/>
      <name val="Arial"/>
      <family val="2"/>
    </font>
    <font>
      <sz val="10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5B3F86"/>
        <bgColor rgb="FF5B3F86"/>
      </patternFill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  <fill>
      <patternFill patternType="solid">
        <fgColor rgb="FFC6EFCE"/>
      </patternFill>
    </fill>
  </fills>
  <borders count="3">
    <border>
      <left/>
      <right/>
      <top/>
      <bottom/>
      <diagonal/>
    </border>
    <border>
      <left/>
      <right/>
      <top style="thin">
        <color rgb="FF5B3F86"/>
      </top>
      <bottom/>
      <diagonal/>
    </border>
    <border>
      <left/>
      <right/>
      <top/>
      <bottom style="thin">
        <color rgb="FF5B3F86"/>
      </bottom>
      <diagonal/>
    </border>
  </borders>
  <cellStyleXfs count="2">
    <xf numFmtId="0" fontId="0" fillId="0" borderId="0"/>
    <xf numFmtId="0" fontId="4" fillId="5" borderId="0" applyNumberFormat="0" applyBorder="0" applyAlignment="0" applyProtection="0"/>
  </cellStyleXfs>
  <cellXfs count="18">
    <xf numFmtId="0" fontId="0" fillId="0" borderId="0" xfId="0"/>
    <xf numFmtId="164" fontId="1" fillId="0" borderId="0" xfId="0" applyNumberFormat="1" applyFont="1" applyAlignment="1">
      <alignment vertical="center"/>
    </xf>
    <xf numFmtId="165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/>
    <xf numFmtId="0" fontId="1" fillId="3" borderId="0" xfId="0" applyFont="1" applyFill="1" applyAlignment="1">
      <alignment vertical="center"/>
    </xf>
    <xf numFmtId="0" fontId="3" fillId="2" borderId="1" xfId="0" applyFont="1" applyFill="1" applyBorder="1"/>
    <xf numFmtId="0" fontId="0" fillId="0" borderId="0" xfId="0" applyAlignment="1">
      <alignment horizontal="center"/>
    </xf>
    <xf numFmtId="0" fontId="1" fillId="4" borderId="0" xfId="0" applyFont="1" applyFill="1" applyAlignment="1">
      <alignment vertical="center"/>
    </xf>
    <xf numFmtId="0" fontId="3" fillId="2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vertical="center"/>
    </xf>
    <xf numFmtId="166" fontId="1" fillId="0" borderId="0" xfId="0" applyNumberFormat="1" applyFont="1" applyAlignment="1">
      <alignment vertical="center"/>
    </xf>
    <xf numFmtId="0" fontId="3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4" fillId="5" borderId="0" xfId="1" applyAlignment="1">
      <alignment horizontal="center"/>
    </xf>
    <xf numFmtId="0" fontId="4" fillId="5" borderId="0" xfId="1"/>
    <xf numFmtId="0" fontId="4" fillId="5" borderId="0" xfId="1" applyNumberFormat="1" applyAlignment="1">
      <alignment horizontal="center"/>
    </xf>
  </cellXfs>
  <cellStyles count="2">
    <cellStyle name="Bueno" xfId="1" builtinId="26"/>
    <cellStyle name="Normal" xfId="0" builtinId="0"/>
  </cellStyles>
  <dxfs count="39">
    <dxf>
      <font>
        <strike val="0"/>
        <outline val="0"/>
        <shadow val="0"/>
        <u val="none"/>
        <vertAlign val="baseline"/>
        <sz val="10"/>
        <color theme="0"/>
        <name val="Arial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rgb="FF0000FF"/>
        <name val="Roboto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rgb="FF0000FF"/>
        <name val="Roboto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rgb="FF0000FF"/>
        <name val="Roboto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rgb="FF0000FF"/>
        <name val="Roboto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65" formatCode="0&quot; / 26&quot;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64" formatCode="m/d/yyyy\ h:mm:ss"/>
      <alignment horizontal="general" vertical="center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Respuestas de formulario 1-style" pivot="0" count="4" xr9:uid="{00000000-0011-0000-FFFF-FFFF00000000}">
      <tableStyleElement type="wholeTable" size="0" dxfId="38"/>
      <tableStyleElement type="headerRow" dxfId="37"/>
      <tableStyleElement type="firstRowStripe" dxfId="36"/>
      <tableStyleElement type="secondRowStripe" dxfId="3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AJ12" headerRowDxfId="0">
  <tableColumns count="36">
    <tableColumn id="1" xr3:uid="{00000000-0010-0000-0000-000001000000}" name="Marca temporal" dataDxfId="30"/>
    <tableColumn id="2" xr3:uid="{00000000-0010-0000-0000-000002000000}" name="Puntuación" dataDxfId="29"/>
    <tableColumn id="3" xr3:uid="{00000000-0010-0000-0000-000003000000}" name="N° PETICIÓN " dataDxfId="28"/>
    <tableColumn id="4" xr3:uid="{00000000-0010-0000-0000-000004000000}" name="Nombre Técnico" dataDxfId="27"/>
    <tableColumn id="5" xr3:uid="{00000000-0010-0000-0000-000005000000}" name="SUPERVISOR" dataDxfId="26"/>
    <tableColumn id="6" xr3:uid="{00000000-0010-0000-0000-000006000000}" name="Se ejecuto la actividad" dataDxfId="25"/>
    <tableColumn id="7" xr3:uid="{00000000-0010-0000-0000-000007000000}" name="Se concreta auditoria?" dataDxfId="24"/>
    <tableColumn id="8" xr3:uid="{00000000-0010-0000-0000-000008000000}" name="Motivo de la derivación" dataDxfId="34"/>
    <tableColumn id="9" xr3:uid="{00000000-0010-0000-0000-000009000000}" name="Auditoria" dataDxfId="23"/>
    <tableColumn id="10" xr3:uid="{00000000-0010-0000-0000-00000A000000}" name="Actividad" dataDxfId="22"/>
    <tableColumn id="11" xr3:uid="{00000000-0010-0000-0000-00000B000000}" name="Instala drop con soportes" dataDxfId="21"/>
    <tableColumn id="12" xr3:uid="{00000000-0010-0000-0000-00000C000000}" name="DIRECCIÓN (Calle - Numero) " dataDxfId="20"/>
    <tableColumn id="13" xr3:uid="{00000000-0010-0000-0000-00000D000000}" name="Instala Pasa-muros " dataDxfId="19"/>
    <tableColumn id="14" xr3:uid="{00000000-0010-0000-0000-00000E000000}" name="Roseta Óptica en norma y atornillada " dataDxfId="18"/>
    <tableColumn id="15" xr3:uid="{00000000-0010-0000-0000-00000F000000}" name="Repetidor Cableado" dataDxfId="33"/>
    <tableColumn id="16" xr3:uid="{00000000-0010-0000-0000-000010000000}" name="Cantidad Decodificadores" dataDxfId="32"/>
    <tableColumn id="17" xr3:uid="{00000000-0010-0000-0000-000011000000}" name="Capacitación  al Cliente" dataDxfId="17"/>
    <tableColumn id="18" xr3:uid="{00000000-0010-0000-0000-000012000000}" name="Deja Área de Trabajo Limpio " dataDxfId="16"/>
    <tableColumn id="19" xr3:uid="{00000000-0010-0000-0000-000013000000}" name="Quien recibe en domicilio" dataDxfId="15"/>
    <tableColumn id="20" xr3:uid="{00000000-0010-0000-0000-000014000000}" name="Nota de Estética del cableado " dataDxfId="14"/>
    <tableColumn id="21" xr3:uid="{00000000-0010-0000-0000-000015000000}" name="Fotografía  Módem" dataDxfId="13"/>
    <tableColumn id="22" xr3:uid="{00000000-0010-0000-0000-000016000000}" name="Fotografía Roseta  Óptica Atornillada " dataDxfId="12"/>
    <tableColumn id="23" xr3:uid="{00000000-0010-0000-0000-000017000000}" name="Fotografías Pasa-muros " dataDxfId="11"/>
    <tableColumn id="24" xr3:uid="{00000000-0010-0000-0000-000018000000}" name="Fotografías" dataDxfId="10"/>
    <tableColumn id="25" xr3:uid="{00000000-0010-0000-0000-000019000000}" name="Estado Auditoria " dataDxfId="9"/>
    <tableColumn id="26" xr3:uid="{00000000-0010-0000-0000-00001A000000}" name="Técnico cumple correctamente con su función?  " dataDxfId="8"/>
    <tableColumn id="27" xr3:uid="{00000000-0010-0000-0000-00001B000000}" name="Con que nota se evalúa al técnico " dataDxfId="7"/>
    <tableColumn id="28" xr3:uid="{00000000-0010-0000-0000-00001C000000}" name="Observaciones (detallar observaciones)" dataDxfId="6"/>
    <tableColumn id="33" xr3:uid="{6654FF87-3155-4898-9A65-816C7D124028}" name="Utiliza OneClick para realizar limpieza a conectores " dataDxfId="5"/>
    <tableColumn id="36" xr3:uid="{2662FBBF-EEE5-4E82-98C0-8584BF84424E}" name="Drop se encuentra encuentra dentro de norma de instalaciones " dataDxfId="4"/>
    <tableColumn id="35" xr3:uid="{CF2913D1-167E-463D-9DEB-ADD1D59E4B8D}" name="Reutiliza Instalación " dataDxfId="3"/>
    <tableColumn id="34" xr3:uid="{1C1000A3-E2F8-4E7C-A510-442774329E98}" name="Utiliza Alcohol isopropilico " dataDxfId="2"/>
    <tableColumn id="32" xr3:uid="{54579B12-B98C-417C-A72D-BAB0E503080E}" name="Reutiliza Instalación de otra compañía " dataDxfId="1"/>
    <tableColumn id="29" xr3:uid="{B3B22204-0EB9-42F6-9D1A-876CFB34A91A}" name="Se llevó a cabo la mesa de trabajo." dataDxfId="31" dataCellStyle="Bueno">
      <calculatedColumnFormula>IFERROR(VLOOKUP(Form_Responses[[#This Row],[Nombre Técnico]],'masa de trabajo'!$B:$C,2,0),"")</calculatedColumnFormula>
    </tableColumn>
    <tableColumn id="30" xr3:uid="{D5B9DC4A-17D5-4220-A758-C20FA12AC150}" name="Se cerró el proceso con el técnico?" dataCellStyle="Bueno"/>
    <tableColumn id="31" xr3:uid="{6A4280CD-66D9-45AA-9502-7B76CE3469BE}" name="Observaciones " dataCellStyle="Bueno"/>
  </tableColumns>
  <tableStyleInfo name="Respuestas de formulario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open?id=19_stumq0aaIfxRLjsrQcctleoeYxzyCD" TargetMode="External"/><Relationship Id="rId18" Type="http://schemas.openxmlformats.org/officeDocument/2006/relationships/hyperlink" Target="https://drive.google.com/open?id=1n6c6KG1MLLnZmc2xervPDiZcGEiOiCyi" TargetMode="External"/><Relationship Id="rId26" Type="http://schemas.openxmlformats.org/officeDocument/2006/relationships/hyperlink" Target="https://drive.google.com/open?id=1nF8b6PoUw5jmaMs3GmfPKH9f_sIPQnnU" TargetMode="External"/><Relationship Id="rId21" Type="http://schemas.openxmlformats.org/officeDocument/2006/relationships/hyperlink" Target="https://drive.google.com/open?id=1qvV5AHtlp5_I4SZ6Ec-EBbt55zMespJ8" TargetMode="External"/><Relationship Id="rId34" Type="http://schemas.openxmlformats.org/officeDocument/2006/relationships/hyperlink" Target="https://drive.google.com/open?id=1OujuqSLPbgqHCXkRhnw6h9V5HL8K4Mfe" TargetMode="External"/><Relationship Id="rId7" Type="http://schemas.openxmlformats.org/officeDocument/2006/relationships/hyperlink" Target="https://drive.google.com/open?id=1JiROAHGcZpKBb8AYqsKEkaQIUwITYdd-" TargetMode="External"/><Relationship Id="rId12" Type="http://schemas.openxmlformats.org/officeDocument/2006/relationships/hyperlink" Target="https://drive.google.com/open?id=1HftL8nuwMbjUi_N_uPN54iieHc1SNhZ7" TargetMode="External"/><Relationship Id="rId17" Type="http://schemas.openxmlformats.org/officeDocument/2006/relationships/hyperlink" Target="https://drive.google.com/open?id=1FMSZOl4jm7NCv0YV2I76OTv48kR4YjC0" TargetMode="External"/><Relationship Id="rId25" Type="http://schemas.openxmlformats.org/officeDocument/2006/relationships/hyperlink" Target="https://drive.google.com/open?id=1hUQTu7-Yh2d6RG0qCUag9TKWRnYl2eLN" TargetMode="External"/><Relationship Id="rId33" Type="http://schemas.openxmlformats.org/officeDocument/2006/relationships/hyperlink" Target="https://drive.google.com/open?id=1OP1hPRSdOrAR3cXLiyxw1o2ogy31xmuT" TargetMode="External"/><Relationship Id="rId2" Type="http://schemas.openxmlformats.org/officeDocument/2006/relationships/hyperlink" Target="https://drive.google.com/open?id=1M5W9rcXFlyTmREE9KJFCGx1z3V3z78jK" TargetMode="External"/><Relationship Id="rId16" Type="http://schemas.openxmlformats.org/officeDocument/2006/relationships/hyperlink" Target="https://drive.google.com/open?id=1cAg185xHKS5Jvh4Ti7ijYMyyD7sf934v" TargetMode="External"/><Relationship Id="rId20" Type="http://schemas.openxmlformats.org/officeDocument/2006/relationships/hyperlink" Target="https://drive.google.com/open?id=1PhtfDwK7_KSjjmrTzZRu8eaRaS76mByG" TargetMode="External"/><Relationship Id="rId29" Type="http://schemas.openxmlformats.org/officeDocument/2006/relationships/hyperlink" Target="https://drive.google.com/open?id=1_qsmYESpm1TZYZBTcSA0bVI1OVnaOqPZ" TargetMode="External"/><Relationship Id="rId1" Type="http://schemas.openxmlformats.org/officeDocument/2006/relationships/hyperlink" Target="https://drive.google.com/open?id=1eLiAAX-JitqlZ_Uy1Wtqd-BaYuer__sy" TargetMode="External"/><Relationship Id="rId6" Type="http://schemas.openxmlformats.org/officeDocument/2006/relationships/hyperlink" Target="https://drive.google.com/open?id=1kU25jEZiCTDYyeWXk7c2rwKjJW51ip9r" TargetMode="External"/><Relationship Id="rId11" Type="http://schemas.openxmlformats.org/officeDocument/2006/relationships/hyperlink" Target="https://drive.google.com/open?id=1xRoqVLV7TnRBkCtOSTEgYjJzWnnxmSh9" TargetMode="External"/><Relationship Id="rId24" Type="http://schemas.openxmlformats.org/officeDocument/2006/relationships/hyperlink" Target="https://drive.google.com/open?id=1cFFm7QlOqMpnPhvBRjg5rcmtQTiDSSzl" TargetMode="External"/><Relationship Id="rId32" Type="http://schemas.openxmlformats.org/officeDocument/2006/relationships/hyperlink" Target="https://drive.google.com/open?id=1I5m3DHoB2XXOa5jOrNIsndX1rQFjkuR3" TargetMode="External"/><Relationship Id="rId37" Type="http://schemas.openxmlformats.org/officeDocument/2006/relationships/table" Target="../tables/table1.xml"/><Relationship Id="rId5" Type="http://schemas.openxmlformats.org/officeDocument/2006/relationships/hyperlink" Target="https://drive.google.com/open?id=12iqDQ8PRPzKO0ZtxepVFD_lo9Oak1i0A" TargetMode="External"/><Relationship Id="rId15" Type="http://schemas.openxmlformats.org/officeDocument/2006/relationships/hyperlink" Target="https://drive.google.com/open?id=1Ct3HMcGgtkRN1ays-ZSxeiG2cr3txlbM" TargetMode="External"/><Relationship Id="rId23" Type="http://schemas.openxmlformats.org/officeDocument/2006/relationships/hyperlink" Target="https://drive.google.com/open?id=1a49an2Uxx5--xhVG5AJh9DzmiTTr-8zE" TargetMode="External"/><Relationship Id="rId28" Type="http://schemas.openxmlformats.org/officeDocument/2006/relationships/hyperlink" Target="https://drive.google.com/open?id=13gcBcAKvwZidaHyvwSsOryf5yBWRFTBU" TargetMode="External"/><Relationship Id="rId36" Type="http://schemas.openxmlformats.org/officeDocument/2006/relationships/hyperlink" Target="https://drive.google.com/open?id=1HSK3BJ7Qx0WE7hATyxPl7JT9fsOOK1DZ" TargetMode="External"/><Relationship Id="rId10" Type="http://schemas.openxmlformats.org/officeDocument/2006/relationships/hyperlink" Target="https://drive.google.com/open?id=1ecPUCwGEQYjplmfEYtFc221G1_0qA_T9" TargetMode="External"/><Relationship Id="rId19" Type="http://schemas.openxmlformats.org/officeDocument/2006/relationships/hyperlink" Target="https://drive.google.com/open?id=1YKKAkGD4EQW-dPfPbHSEbpsBuE7HuDQ2" TargetMode="External"/><Relationship Id="rId31" Type="http://schemas.openxmlformats.org/officeDocument/2006/relationships/hyperlink" Target="https://drive.google.com/open?id=1C7xbpqRZdhbFYfcF4iO3wNkPMuE8MDbR" TargetMode="External"/><Relationship Id="rId4" Type="http://schemas.openxmlformats.org/officeDocument/2006/relationships/hyperlink" Target="https://drive.google.com/open?id=1ugWq8gxEvzZ3Zrq6Vt4RfT-zPz7aB4ol" TargetMode="External"/><Relationship Id="rId9" Type="http://schemas.openxmlformats.org/officeDocument/2006/relationships/hyperlink" Target="https://drive.google.com/open?id=17lXQX1mTuaoqy9ifOYdLztSv-UjgbzJ7" TargetMode="External"/><Relationship Id="rId14" Type="http://schemas.openxmlformats.org/officeDocument/2006/relationships/hyperlink" Target="https://drive.google.com/open?id=1IfDHf1Ap0Yyo32pZFKUGiyCTMwkquF8X" TargetMode="External"/><Relationship Id="rId22" Type="http://schemas.openxmlformats.org/officeDocument/2006/relationships/hyperlink" Target="https://drive.google.com/open?id=1WwnXsHKOqdcxhVKy7K78PfZqcdpIXWPD" TargetMode="External"/><Relationship Id="rId27" Type="http://schemas.openxmlformats.org/officeDocument/2006/relationships/hyperlink" Target="https://drive.google.com/open?id=1bm95wbg0W4QfOhTQ-l3iSNpuXZbayYdA" TargetMode="External"/><Relationship Id="rId30" Type="http://schemas.openxmlformats.org/officeDocument/2006/relationships/hyperlink" Target="https://drive.google.com/open?id=1CSmuYQmqrvrMUUa4nf16cG0GkGD3SynA" TargetMode="External"/><Relationship Id="rId35" Type="http://schemas.openxmlformats.org/officeDocument/2006/relationships/hyperlink" Target="https://drive.google.com/open?id=1WN_3WV6vkXedBc7VCDP6LUrRSoYcekyB" TargetMode="External"/><Relationship Id="rId8" Type="http://schemas.openxmlformats.org/officeDocument/2006/relationships/hyperlink" Target="https://drive.google.com/open?id=1fjU3RvPo3EX5BcpGMOPN3bz-u6iU2Q4I" TargetMode="External"/><Relationship Id="rId3" Type="http://schemas.openxmlformats.org/officeDocument/2006/relationships/hyperlink" Target="https://drive.google.com/open?id=1KsGJ-oxout_7n7kZQlBeuIYexSo59vI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J12"/>
  <sheetViews>
    <sheetView tabSelected="1" workbookViewId="0">
      <pane ySplit="1" topLeftCell="A2" activePane="bottomLeft" state="frozen"/>
      <selection pane="bottomLeft" activeCell="D6" sqref="D6"/>
    </sheetView>
  </sheetViews>
  <sheetFormatPr baseColWidth="10" defaultColWidth="12.6640625" defaultRowHeight="15.75" customHeight="1" x14ac:dyDescent="0.25"/>
  <cols>
    <col min="1" max="1" width="17.109375" bestFit="1" customWidth="1"/>
    <col min="2" max="2" width="10.109375" bestFit="1" customWidth="1"/>
    <col min="3" max="3" width="12.77734375" bestFit="1" customWidth="1"/>
    <col min="4" max="4" width="38.88671875" bestFit="1" customWidth="1"/>
    <col min="5" max="5" width="18.21875" bestFit="1" customWidth="1"/>
    <col min="6" max="6" width="21.5546875" bestFit="1" customWidth="1"/>
    <col min="7" max="7" width="21.33203125" bestFit="1" customWidth="1"/>
    <col min="8" max="8" width="21.88671875" bestFit="1" customWidth="1"/>
    <col min="9" max="9" width="21.6640625" bestFit="1" customWidth="1"/>
    <col min="10" max="10" width="11.33203125" bestFit="1" customWidth="1"/>
    <col min="11" max="11" width="23.6640625" bestFit="1" customWidth="1"/>
    <col min="12" max="12" width="36.77734375" bestFit="1" customWidth="1"/>
    <col min="13" max="13" width="17.77734375" bestFit="1" customWidth="1"/>
    <col min="14" max="14" width="34.44140625" bestFit="1" customWidth="1"/>
    <col min="15" max="15" width="18.77734375" bestFit="1" customWidth="1"/>
    <col min="16" max="16" width="23.88671875" bestFit="1" customWidth="1"/>
    <col min="17" max="17" width="22.33203125" bestFit="1" customWidth="1"/>
    <col min="18" max="18" width="26.88671875" bestFit="1" customWidth="1"/>
    <col min="19" max="19" width="40.109375" bestFit="1" customWidth="1"/>
    <col min="20" max="20" width="28.21875" bestFit="1" customWidth="1"/>
    <col min="21" max="21" width="69.5546875" bestFit="1" customWidth="1"/>
    <col min="22" max="22" width="68.6640625" bestFit="1" customWidth="1"/>
    <col min="23" max="23" width="68.88671875" bestFit="1" customWidth="1"/>
    <col min="24" max="24" width="69.33203125" bestFit="1" customWidth="1"/>
    <col min="25" max="25" width="15.5546875" bestFit="1" customWidth="1"/>
    <col min="26" max="26" width="44.6640625" bestFit="1" customWidth="1"/>
    <col min="27" max="27" width="31.5546875" bestFit="1" customWidth="1"/>
    <col min="28" max="28" width="255.77734375" bestFit="1" customWidth="1"/>
    <col min="29" max="29" width="48.44140625" bestFit="1" customWidth="1"/>
    <col min="30" max="30" width="58.44140625" bestFit="1" customWidth="1"/>
    <col min="31" max="31" width="19.5546875" bestFit="1" customWidth="1"/>
    <col min="32" max="32" width="25.44140625" bestFit="1" customWidth="1"/>
    <col min="33" max="33" width="36.21875" bestFit="1" customWidth="1"/>
    <col min="34" max="34" width="33" style="15" bestFit="1" customWidth="1"/>
    <col min="35" max="35" width="33.44140625" style="16" bestFit="1" customWidth="1"/>
    <col min="36" max="36" width="76" style="16" bestFit="1" customWidth="1"/>
    <col min="37" max="39" width="18.88671875" customWidth="1"/>
  </cols>
  <sheetData>
    <row r="1" spans="1:36" s="5" customFormat="1" ht="22.5" customHeight="1" x14ac:dyDescent="0.25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119</v>
      </c>
      <c r="J1" s="14" t="s">
        <v>120</v>
      </c>
      <c r="K1" s="14" t="s">
        <v>121</v>
      </c>
      <c r="L1" s="13" t="s">
        <v>133</v>
      </c>
      <c r="M1" s="13" t="s">
        <v>134</v>
      </c>
      <c r="N1" s="13" t="s">
        <v>135</v>
      </c>
      <c r="O1" s="14" t="s">
        <v>8</v>
      </c>
      <c r="P1" s="14" t="s">
        <v>9</v>
      </c>
      <c r="Q1" s="14" t="s">
        <v>10</v>
      </c>
      <c r="R1" s="13" t="s">
        <v>136</v>
      </c>
      <c r="S1" s="13" t="s">
        <v>137</v>
      </c>
      <c r="T1" s="14" t="s">
        <v>11</v>
      </c>
      <c r="U1" s="14" t="s">
        <v>12</v>
      </c>
      <c r="V1" s="13" t="s">
        <v>138</v>
      </c>
      <c r="W1" s="13" t="s">
        <v>139</v>
      </c>
      <c r="X1" s="14" t="s">
        <v>13</v>
      </c>
      <c r="Y1" s="13" t="s">
        <v>140</v>
      </c>
      <c r="Z1" s="14" t="s">
        <v>14</v>
      </c>
      <c r="AA1" s="13" t="s">
        <v>141</v>
      </c>
      <c r="AB1" s="13" t="s">
        <v>142</v>
      </c>
      <c r="AC1" s="14" t="s">
        <v>122</v>
      </c>
      <c r="AD1" s="14" t="s">
        <v>123</v>
      </c>
      <c r="AE1" s="14" t="s">
        <v>124</v>
      </c>
      <c r="AF1" s="14" t="s">
        <v>125</v>
      </c>
      <c r="AG1" s="14" t="s">
        <v>126</v>
      </c>
      <c r="AH1" s="15" t="s">
        <v>48</v>
      </c>
      <c r="AI1" s="16" t="s">
        <v>49</v>
      </c>
      <c r="AJ1" s="16" t="s">
        <v>50</v>
      </c>
    </row>
    <row r="2" spans="1:36" ht="22.5" customHeight="1" x14ac:dyDescent="0.25">
      <c r="A2" s="1">
        <v>46238.96527310185</v>
      </c>
      <c r="B2" s="2">
        <v>0</v>
      </c>
      <c r="C2" s="3" t="s">
        <v>15</v>
      </c>
      <c r="D2" s="3" t="s">
        <v>16</v>
      </c>
      <c r="E2" s="3" t="s">
        <v>17</v>
      </c>
      <c r="F2" s="3" t="s">
        <v>18</v>
      </c>
      <c r="G2" s="3" t="s">
        <v>18</v>
      </c>
      <c r="H2" s="3"/>
      <c r="I2" s="3" t="s">
        <v>19</v>
      </c>
      <c r="J2" s="3" t="s">
        <v>20</v>
      </c>
      <c r="K2" s="3" t="s">
        <v>21</v>
      </c>
      <c r="L2" s="3" t="s">
        <v>22</v>
      </c>
      <c r="M2" s="3" t="s">
        <v>21</v>
      </c>
      <c r="N2" s="3" t="s">
        <v>23</v>
      </c>
      <c r="O2" s="3" t="s">
        <v>21</v>
      </c>
      <c r="P2" s="3" t="s">
        <v>24</v>
      </c>
      <c r="Q2" s="3" t="s">
        <v>23</v>
      </c>
      <c r="R2" s="3" t="s">
        <v>23</v>
      </c>
      <c r="S2" s="3" t="s">
        <v>25</v>
      </c>
      <c r="T2" s="3">
        <v>4</v>
      </c>
      <c r="U2" s="4" t="s">
        <v>26</v>
      </c>
      <c r="V2" s="4" t="s">
        <v>27</v>
      </c>
      <c r="W2" s="4" t="s">
        <v>28</v>
      </c>
      <c r="X2" s="4" t="s">
        <v>29</v>
      </c>
      <c r="Y2" s="3" t="s">
        <v>30</v>
      </c>
      <c r="Z2" s="3" t="s">
        <v>30</v>
      </c>
      <c r="AA2" s="3">
        <v>6</v>
      </c>
      <c r="AB2" s="3" t="s">
        <v>31</v>
      </c>
      <c r="AC2" s="3"/>
      <c r="AD2" s="3"/>
      <c r="AE2" s="3"/>
      <c r="AF2" s="3"/>
      <c r="AG2" s="3"/>
      <c r="AH2" s="15" t="str">
        <f>IFERROR(VLOOKUP(Form_Responses[[#This Row],[Nombre Técnico]],'masa de trabajo'!$B:$C,2,0),"")</f>
        <v>SI</v>
      </c>
    </row>
    <row r="3" spans="1:36" ht="22.5" customHeight="1" x14ac:dyDescent="0.25">
      <c r="A3" s="1">
        <v>46241.444909525468</v>
      </c>
      <c r="B3" s="2">
        <v>0</v>
      </c>
      <c r="C3" s="3" t="s">
        <v>32</v>
      </c>
      <c r="D3" s="3" t="s">
        <v>33</v>
      </c>
      <c r="E3" s="3" t="s">
        <v>17</v>
      </c>
      <c r="F3" s="3" t="s">
        <v>18</v>
      </c>
      <c r="G3" s="3" t="s">
        <v>18</v>
      </c>
      <c r="H3" s="3"/>
      <c r="I3" s="3" t="s">
        <v>19</v>
      </c>
      <c r="J3" s="3" t="s">
        <v>20</v>
      </c>
      <c r="K3" s="3" t="s">
        <v>21</v>
      </c>
      <c r="L3" s="3" t="s">
        <v>34</v>
      </c>
      <c r="M3" s="3" t="s">
        <v>21</v>
      </c>
      <c r="N3" s="3" t="s">
        <v>23</v>
      </c>
      <c r="O3" s="3"/>
      <c r="P3" s="3"/>
      <c r="Q3" s="3" t="s">
        <v>23</v>
      </c>
      <c r="R3" s="3" t="s">
        <v>23</v>
      </c>
      <c r="S3" s="3" t="s">
        <v>35</v>
      </c>
      <c r="T3" s="3">
        <v>4</v>
      </c>
      <c r="U3" s="4" t="s">
        <v>36</v>
      </c>
      <c r="V3" s="4" t="s">
        <v>37</v>
      </c>
      <c r="W3" s="3"/>
      <c r="X3" s="4" t="s">
        <v>38</v>
      </c>
      <c r="Y3" s="3" t="s">
        <v>30</v>
      </c>
      <c r="Z3" s="3" t="s">
        <v>30</v>
      </c>
      <c r="AA3" s="3">
        <v>9</v>
      </c>
      <c r="AB3" s="3" t="s">
        <v>39</v>
      </c>
      <c r="AC3" s="3"/>
      <c r="AD3" s="3"/>
      <c r="AE3" s="3"/>
      <c r="AF3" s="3"/>
      <c r="AG3" s="3"/>
      <c r="AH3" s="15" t="str">
        <f>IFERROR(VLOOKUP(Form_Responses[[#This Row],[Nombre Técnico]],'masa de trabajo'!$B:$C,2,0),"")</f>
        <v>SI</v>
      </c>
      <c r="AI3" s="16" t="s">
        <v>23</v>
      </c>
      <c r="AJ3" s="16" t="s">
        <v>118</v>
      </c>
    </row>
    <row r="4" spans="1:36" ht="22.5" customHeight="1" x14ac:dyDescent="0.25">
      <c r="A4" s="1">
        <v>46241.449800138886</v>
      </c>
      <c r="B4" s="2">
        <v>0</v>
      </c>
      <c r="C4" s="3" t="s">
        <v>40</v>
      </c>
      <c r="D4" s="3" t="s">
        <v>33</v>
      </c>
      <c r="E4" s="3" t="s">
        <v>17</v>
      </c>
      <c r="F4" s="3" t="s">
        <v>18</v>
      </c>
      <c r="G4" s="3" t="s">
        <v>18</v>
      </c>
      <c r="H4" s="3"/>
      <c r="I4" s="3" t="s">
        <v>19</v>
      </c>
      <c r="J4" s="3" t="s">
        <v>41</v>
      </c>
      <c r="K4" s="3" t="s">
        <v>21</v>
      </c>
      <c r="L4" s="3" t="s">
        <v>42</v>
      </c>
      <c r="M4" s="3" t="s">
        <v>21</v>
      </c>
      <c r="N4" s="3" t="s">
        <v>23</v>
      </c>
      <c r="O4" s="3"/>
      <c r="P4" s="3">
        <v>2</v>
      </c>
      <c r="Q4" s="3" t="s">
        <v>23</v>
      </c>
      <c r="R4" s="3" t="s">
        <v>23</v>
      </c>
      <c r="S4" s="3" t="s">
        <v>43</v>
      </c>
      <c r="T4" s="3">
        <v>4</v>
      </c>
      <c r="U4" s="4" t="s">
        <v>44</v>
      </c>
      <c r="V4" s="4" t="s">
        <v>45</v>
      </c>
      <c r="W4" s="3"/>
      <c r="X4" s="4" t="s">
        <v>46</v>
      </c>
      <c r="Y4" s="3" t="s">
        <v>30</v>
      </c>
      <c r="Z4" s="3" t="s">
        <v>30</v>
      </c>
      <c r="AA4" s="3">
        <v>9</v>
      </c>
      <c r="AB4" s="3" t="s">
        <v>47</v>
      </c>
      <c r="AC4" s="3"/>
      <c r="AD4" s="3"/>
      <c r="AE4" s="3"/>
      <c r="AF4" s="3"/>
      <c r="AG4" s="3"/>
      <c r="AH4" s="15" t="str">
        <f>IFERROR(VLOOKUP(Form_Responses[[#This Row],[Nombre Técnico]],'masa de trabajo'!$B:$C,2,0),"")</f>
        <v>SI</v>
      </c>
      <c r="AI4" s="16" t="s">
        <v>23</v>
      </c>
    </row>
    <row r="5" spans="1:36" ht="15.75" customHeight="1" x14ac:dyDescent="0.25">
      <c r="A5" s="1">
        <v>46243.7506640625</v>
      </c>
      <c r="B5" s="2">
        <v>0</v>
      </c>
      <c r="C5" s="3" t="s">
        <v>51</v>
      </c>
      <c r="D5" s="3" t="s">
        <v>52</v>
      </c>
      <c r="E5" s="3" t="s">
        <v>53</v>
      </c>
      <c r="F5" s="3" t="s">
        <v>18</v>
      </c>
      <c r="G5" s="3" t="s">
        <v>18</v>
      </c>
      <c r="I5" s="3" t="s">
        <v>19</v>
      </c>
      <c r="J5" s="3" t="s">
        <v>54</v>
      </c>
      <c r="K5" s="3" t="s">
        <v>21</v>
      </c>
      <c r="L5" s="3" t="s">
        <v>55</v>
      </c>
      <c r="M5" s="3" t="s">
        <v>23</v>
      </c>
      <c r="N5" s="3" t="s">
        <v>21</v>
      </c>
      <c r="P5" s="3">
        <v>3</v>
      </c>
      <c r="Q5" s="3" t="s">
        <v>23</v>
      </c>
      <c r="R5" s="3" t="s">
        <v>23</v>
      </c>
      <c r="S5" s="3" t="s">
        <v>56</v>
      </c>
      <c r="T5" s="3">
        <v>3</v>
      </c>
      <c r="U5" s="4" t="s">
        <v>57</v>
      </c>
      <c r="V5" s="4" t="s">
        <v>58</v>
      </c>
      <c r="W5" s="4" t="s">
        <v>59</v>
      </c>
      <c r="X5" s="4" t="s">
        <v>60</v>
      </c>
      <c r="Y5" s="3" t="s">
        <v>30</v>
      </c>
      <c r="Z5" s="3" t="s">
        <v>30</v>
      </c>
      <c r="AA5" s="3">
        <v>7</v>
      </c>
      <c r="AB5" s="3" t="s">
        <v>61</v>
      </c>
      <c r="AC5" s="3"/>
      <c r="AD5" s="3"/>
      <c r="AE5" s="3"/>
      <c r="AF5" s="3"/>
      <c r="AG5" s="3"/>
      <c r="AH5" s="15" t="str">
        <f>IFERROR(VLOOKUP(Form_Responses[[#This Row],[Nombre Técnico]],'masa de trabajo'!$B:$C,2,0),"")</f>
        <v>SI</v>
      </c>
    </row>
    <row r="6" spans="1:36" ht="15.75" customHeight="1" x14ac:dyDescent="0.25">
      <c r="A6" s="1">
        <v>46244.901713009254</v>
      </c>
      <c r="B6" s="2">
        <v>0</v>
      </c>
      <c r="C6" s="3" t="s">
        <v>62</v>
      </c>
      <c r="D6" s="3" t="s">
        <v>63</v>
      </c>
      <c r="E6" s="3" t="s">
        <v>64</v>
      </c>
      <c r="F6" s="3" t="s">
        <v>18</v>
      </c>
      <c r="G6" s="3" t="s">
        <v>18</v>
      </c>
      <c r="H6" s="3" t="s">
        <v>65</v>
      </c>
      <c r="I6" s="3" t="s">
        <v>19</v>
      </c>
      <c r="J6" s="3" t="s">
        <v>65</v>
      </c>
      <c r="K6" s="3" t="s">
        <v>23</v>
      </c>
      <c r="L6" s="3" t="s">
        <v>66</v>
      </c>
      <c r="M6" s="3" t="s">
        <v>23</v>
      </c>
      <c r="N6" s="3" t="s">
        <v>23</v>
      </c>
      <c r="O6" s="3" t="s">
        <v>21</v>
      </c>
      <c r="P6" s="3">
        <v>1</v>
      </c>
      <c r="Q6" s="3" t="s">
        <v>23</v>
      </c>
      <c r="R6" s="3" t="s">
        <v>23</v>
      </c>
      <c r="S6" s="3" t="s">
        <v>67</v>
      </c>
      <c r="T6" s="3">
        <v>4</v>
      </c>
      <c r="U6" s="4" t="s">
        <v>68</v>
      </c>
      <c r="V6" s="4" t="s">
        <v>69</v>
      </c>
      <c r="W6" s="4" t="s">
        <v>70</v>
      </c>
      <c r="X6" s="4" t="s">
        <v>71</v>
      </c>
      <c r="Y6" s="3" t="s">
        <v>72</v>
      </c>
      <c r="Z6" s="3" t="s">
        <v>72</v>
      </c>
      <c r="AA6" s="3">
        <v>7</v>
      </c>
      <c r="AB6" s="3" t="s">
        <v>73</v>
      </c>
      <c r="AC6" s="3"/>
      <c r="AD6" s="3"/>
      <c r="AE6" s="3"/>
      <c r="AF6" s="3"/>
      <c r="AG6" s="3"/>
      <c r="AH6" s="15" t="str">
        <f>IFERROR(VLOOKUP(Form_Responses[[#This Row],[Nombre Técnico]],'masa de trabajo'!$B:$C,2,0),"")</f>
        <v>SI</v>
      </c>
    </row>
    <row r="7" spans="1:36" ht="15.75" customHeight="1" x14ac:dyDescent="0.25">
      <c r="A7" s="1">
        <v>46245.540172881942</v>
      </c>
      <c r="B7" s="2">
        <v>0</v>
      </c>
      <c r="C7" s="3" t="s">
        <v>74</v>
      </c>
      <c r="D7" s="3" t="s">
        <v>75</v>
      </c>
      <c r="E7" s="3" t="s">
        <v>53</v>
      </c>
      <c r="F7" s="3" t="s">
        <v>18</v>
      </c>
      <c r="G7" s="3" t="s">
        <v>18</v>
      </c>
      <c r="I7" s="3" t="s">
        <v>19</v>
      </c>
      <c r="J7" s="3" t="s">
        <v>41</v>
      </c>
      <c r="K7" s="3" t="s">
        <v>21</v>
      </c>
      <c r="L7" s="3" t="s">
        <v>76</v>
      </c>
      <c r="N7" s="3" t="s">
        <v>23</v>
      </c>
      <c r="Q7" s="3" t="s">
        <v>77</v>
      </c>
      <c r="R7" s="3" t="s">
        <v>23</v>
      </c>
      <c r="S7" s="3" t="s">
        <v>78</v>
      </c>
      <c r="T7" s="3">
        <v>3</v>
      </c>
      <c r="U7" s="4" t="s">
        <v>79</v>
      </c>
      <c r="V7" s="4" t="s">
        <v>80</v>
      </c>
      <c r="X7" s="4" t="s">
        <v>81</v>
      </c>
      <c r="Y7" s="3" t="s">
        <v>30</v>
      </c>
      <c r="Z7" s="3" t="s">
        <v>72</v>
      </c>
      <c r="AA7" s="3">
        <v>5</v>
      </c>
      <c r="AB7" s="3" t="s">
        <v>82</v>
      </c>
      <c r="AC7" s="3"/>
      <c r="AD7" s="3"/>
      <c r="AE7" s="3"/>
      <c r="AF7" s="3"/>
      <c r="AG7" s="3"/>
      <c r="AH7" s="15" t="str">
        <f>IFERROR(VLOOKUP(Form_Responses[[#This Row],[Nombre Técnico]],'masa de trabajo'!$B:$C,2,0),"")</f>
        <v>SI</v>
      </c>
    </row>
    <row r="8" spans="1:36" ht="15.75" customHeight="1" x14ac:dyDescent="0.25">
      <c r="A8" s="1">
        <v>46245.569448587965</v>
      </c>
      <c r="B8" s="2">
        <v>0</v>
      </c>
      <c r="C8" s="3" t="s">
        <v>83</v>
      </c>
      <c r="D8" s="3" t="s">
        <v>84</v>
      </c>
      <c r="E8" s="3" t="s">
        <v>53</v>
      </c>
      <c r="F8" s="3" t="s">
        <v>18</v>
      </c>
      <c r="G8" s="3" t="s">
        <v>18</v>
      </c>
      <c r="I8" s="3" t="s">
        <v>19</v>
      </c>
      <c r="J8" s="3" t="s">
        <v>41</v>
      </c>
      <c r="K8" s="3" t="s">
        <v>21</v>
      </c>
      <c r="L8" s="3" t="s">
        <v>85</v>
      </c>
      <c r="M8" s="3" t="s">
        <v>21</v>
      </c>
      <c r="N8" s="3" t="s">
        <v>21</v>
      </c>
      <c r="P8" s="3">
        <v>2</v>
      </c>
      <c r="Q8" s="3" t="s">
        <v>23</v>
      </c>
      <c r="R8" s="3" t="s">
        <v>23</v>
      </c>
      <c r="S8" s="3" t="s">
        <v>86</v>
      </c>
      <c r="T8" s="3">
        <v>4</v>
      </c>
      <c r="U8" s="4" t="s">
        <v>87</v>
      </c>
      <c r="V8" s="4" t="s">
        <v>88</v>
      </c>
      <c r="W8" s="4" t="s">
        <v>89</v>
      </c>
      <c r="X8" s="4" t="s">
        <v>90</v>
      </c>
      <c r="Y8" s="3" t="s">
        <v>30</v>
      </c>
      <c r="Z8" s="3" t="s">
        <v>30</v>
      </c>
      <c r="AA8" s="3">
        <v>9</v>
      </c>
      <c r="AB8" s="3" t="s">
        <v>91</v>
      </c>
      <c r="AC8" s="3"/>
      <c r="AD8" s="3"/>
      <c r="AE8" s="3"/>
      <c r="AF8" s="3"/>
      <c r="AG8" s="3"/>
      <c r="AH8" s="15" t="str">
        <f>IFERROR(VLOOKUP(Form_Responses[[#This Row],[Nombre Técnico]],'masa de trabajo'!$B:$C,2,0),"")</f>
        <v/>
      </c>
    </row>
    <row r="9" spans="1:36" ht="15.75" customHeight="1" x14ac:dyDescent="0.25">
      <c r="A9" s="1">
        <v>46246.746229016208</v>
      </c>
      <c r="B9" s="2">
        <v>0</v>
      </c>
      <c r="C9" s="3" t="s">
        <v>92</v>
      </c>
      <c r="D9" s="3" t="s">
        <v>52</v>
      </c>
      <c r="E9" s="3" t="s">
        <v>53</v>
      </c>
      <c r="F9" s="3" t="s">
        <v>18</v>
      </c>
      <c r="G9" s="3" t="s">
        <v>18</v>
      </c>
      <c r="I9" s="3" t="s">
        <v>19</v>
      </c>
      <c r="J9" s="3" t="s">
        <v>41</v>
      </c>
      <c r="K9" s="3" t="s">
        <v>21</v>
      </c>
      <c r="L9" s="3" t="s">
        <v>93</v>
      </c>
      <c r="M9" s="3" t="s">
        <v>23</v>
      </c>
      <c r="N9" s="3" t="s">
        <v>23</v>
      </c>
      <c r="Q9" s="3" t="s">
        <v>23</v>
      </c>
      <c r="R9" s="3" t="s">
        <v>23</v>
      </c>
      <c r="S9" s="3" t="s">
        <v>94</v>
      </c>
      <c r="T9" s="3">
        <v>4</v>
      </c>
      <c r="U9" s="4" t="s">
        <v>95</v>
      </c>
      <c r="V9" s="4" t="s">
        <v>96</v>
      </c>
      <c r="W9" s="4" t="s">
        <v>97</v>
      </c>
      <c r="X9" s="4" t="s">
        <v>98</v>
      </c>
      <c r="Y9" s="3" t="s">
        <v>30</v>
      </c>
      <c r="Z9" s="3" t="s">
        <v>30</v>
      </c>
      <c r="AA9" s="3">
        <v>8</v>
      </c>
      <c r="AB9" s="3" t="s">
        <v>99</v>
      </c>
      <c r="AC9" s="3"/>
      <c r="AD9" s="3"/>
      <c r="AE9" s="3"/>
      <c r="AF9" s="3"/>
      <c r="AG9" s="3"/>
      <c r="AH9" s="15" t="str">
        <f>IFERROR(VLOOKUP(Form_Responses[[#This Row],[Nombre Técnico]],'masa de trabajo'!$B:$C,2,0),"")</f>
        <v>SI</v>
      </c>
    </row>
    <row r="10" spans="1:36" ht="15.75" customHeight="1" x14ac:dyDescent="0.25">
      <c r="A10" s="1">
        <v>46247.535424652779</v>
      </c>
      <c r="B10" s="2">
        <v>0</v>
      </c>
      <c r="C10" s="3" t="s">
        <v>101</v>
      </c>
      <c r="D10" s="3" t="s">
        <v>102</v>
      </c>
      <c r="E10" s="3" t="s">
        <v>17</v>
      </c>
      <c r="F10" s="3" t="s">
        <v>18</v>
      </c>
      <c r="G10" s="3" t="s">
        <v>18</v>
      </c>
      <c r="I10" s="3" t="s">
        <v>19</v>
      </c>
      <c r="J10" s="3" t="s">
        <v>20</v>
      </c>
      <c r="K10" s="3" t="s">
        <v>21</v>
      </c>
      <c r="L10" s="3" t="s">
        <v>103</v>
      </c>
      <c r="N10" s="3" t="s">
        <v>21</v>
      </c>
      <c r="P10" s="3">
        <v>2</v>
      </c>
      <c r="Q10" s="3" t="s">
        <v>23</v>
      </c>
      <c r="R10" s="3" t="s">
        <v>23</v>
      </c>
      <c r="S10" s="3" t="s">
        <v>104</v>
      </c>
      <c r="T10" s="3">
        <v>4</v>
      </c>
      <c r="U10" s="4" t="s">
        <v>105</v>
      </c>
      <c r="V10" s="4" t="s">
        <v>106</v>
      </c>
      <c r="X10" s="4" t="s">
        <v>107</v>
      </c>
      <c r="Y10" s="3" t="s">
        <v>30</v>
      </c>
      <c r="Z10" s="3" t="s">
        <v>30</v>
      </c>
      <c r="AA10" s="3">
        <v>6</v>
      </c>
      <c r="AB10" s="3" t="s">
        <v>108</v>
      </c>
      <c r="AC10" s="3"/>
      <c r="AD10" s="3"/>
      <c r="AE10" s="3"/>
      <c r="AF10" s="3"/>
      <c r="AG10" s="3"/>
      <c r="AH10" s="15" t="str">
        <f>IFERROR(VLOOKUP(Form_Responses[[#This Row],[Nombre Técnico]],'masa de trabajo'!$B:$C,2,0),"")</f>
        <v/>
      </c>
    </row>
    <row r="11" spans="1:36" ht="15.75" customHeight="1" x14ac:dyDescent="0.25">
      <c r="A11" s="1">
        <v>46247.71862049769</v>
      </c>
      <c r="B11" s="2">
        <v>0</v>
      </c>
      <c r="C11" s="3" t="s">
        <v>109</v>
      </c>
      <c r="D11" s="3" t="s">
        <v>110</v>
      </c>
      <c r="E11" s="3" t="s">
        <v>53</v>
      </c>
      <c r="F11" s="3" t="s">
        <v>18</v>
      </c>
      <c r="G11" s="3" t="s">
        <v>18</v>
      </c>
      <c r="I11" s="3" t="s">
        <v>19</v>
      </c>
      <c r="J11" s="3" t="s">
        <v>41</v>
      </c>
      <c r="K11" s="3" t="s">
        <v>21</v>
      </c>
      <c r="L11" s="3" t="s">
        <v>111</v>
      </c>
      <c r="M11" s="3" t="s">
        <v>23</v>
      </c>
      <c r="N11" s="3" t="s">
        <v>21</v>
      </c>
      <c r="Q11" s="3" t="s">
        <v>23</v>
      </c>
      <c r="R11" s="3" t="s">
        <v>23</v>
      </c>
      <c r="S11" s="3" t="s">
        <v>112</v>
      </c>
      <c r="T11" s="3">
        <v>4</v>
      </c>
      <c r="U11" s="4" t="s">
        <v>113</v>
      </c>
      <c r="V11" s="4" t="s">
        <v>114</v>
      </c>
      <c r="W11" s="4" t="s">
        <v>115</v>
      </c>
      <c r="X11" s="4" t="s">
        <v>116</v>
      </c>
      <c r="Y11" s="3" t="s">
        <v>30</v>
      </c>
      <c r="Z11" s="3" t="s">
        <v>30</v>
      </c>
      <c r="AA11" s="3">
        <v>10</v>
      </c>
      <c r="AB11" s="3" t="s">
        <v>117</v>
      </c>
      <c r="AC11" s="3"/>
      <c r="AD11" s="3"/>
      <c r="AE11" s="3"/>
      <c r="AF11" s="3"/>
      <c r="AG11" s="3"/>
      <c r="AH11" s="15" t="str">
        <f>IFERROR(VLOOKUP(Form_Responses[[#This Row],[Nombre Técnico]],'masa de trabajo'!$B:$C,2,0),"")</f>
        <v/>
      </c>
    </row>
    <row r="12" spans="1:36" ht="15.75" customHeight="1" x14ac:dyDescent="0.25">
      <c r="A12" s="1">
        <v>46248.497756516204</v>
      </c>
      <c r="B12" s="12">
        <v>8</v>
      </c>
      <c r="C12" s="3" t="s">
        <v>127</v>
      </c>
      <c r="D12" s="3" t="s">
        <v>128</v>
      </c>
      <c r="E12" s="3" t="s">
        <v>17</v>
      </c>
      <c r="F12" s="3" t="s">
        <v>18</v>
      </c>
      <c r="G12" s="3" t="s">
        <v>18</v>
      </c>
      <c r="I12" s="3" t="s">
        <v>129</v>
      </c>
      <c r="J12" s="3" t="s">
        <v>41</v>
      </c>
      <c r="K12" s="3" t="s">
        <v>23</v>
      </c>
      <c r="L12" s="3" t="s">
        <v>130</v>
      </c>
      <c r="M12" s="3" t="s">
        <v>23</v>
      </c>
      <c r="N12" s="3" t="s">
        <v>23</v>
      </c>
      <c r="Q12" s="3" t="s">
        <v>23</v>
      </c>
      <c r="R12" s="3" t="s">
        <v>23</v>
      </c>
      <c r="S12" s="3" t="s">
        <v>131</v>
      </c>
      <c r="T12" s="3">
        <v>4</v>
      </c>
      <c r="AB12" s="3" t="s">
        <v>132</v>
      </c>
      <c r="AC12" s="3" t="s">
        <v>23</v>
      </c>
      <c r="AD12" s="3" t="s">
        <v>23</v>
      </c>
      <c r="AE12" s="3" t="s">
        <v>21</v>
      </c>
      <c r="AF12" s="3" t="s">
        <v>23</v>
      </c>
      <c r="AG12" s="3" t="s">
        <v>21</v>
      </c>
      <c r="AH12" s="17" t="str">
        <f>IFERROR(VLOOKUP(Form_Responses[[#This Row],[Nombre Técnico]],'masa de trabajo'!$B:$C,2,0),"")</f>
        <v/>
      </c>
    </row>
  </sheetData>
  <phoneticPr fontId="5" type="noConversion"/>
  <hyperlinks>
    <hyperlink ref="U2" r:id="rId1" xr:uid="{928FDE32-70C3-4514-B10C-E03DE7280F3B}"/>
    <hyperlink ref="V2" r:id="rId2" xr:uid="{151DBCEA-EB7F-43AB-B2D3-EE359DDAF7A5}"/>
    <hyperlink ref="W2" r:id="rId3" xr:uid="{8CAA54A6-D51B-4B8F-9489-2CA1FDCCD204}"/>
    <hyperlink ref="X2" r:id="rId4" xr:uid="{FD369774-514E-4330-A162-2CF380FC0D8C}"/>
    <hyperlink ref="U3" r:id="rId5" xr:uid="{66825895-59A9-4857-9E65-2A6F4947221A}"/>
    <hyperlink ref="V3" r:id="rId6" xr:uid="{351BBDB2-6281-4D06-B9CC-90131F35FB00}"/>
    <hyperlink ref="X3" r:id="rId7" xr:uid="{28F84FA8-7CFA-4D16-84C1-95F48C88C7F7}"/>
    <hyperlink ref="U4" r:id="rId8" xr:uid="{2903E959-838A-49E3-AFD0-9922466215DA}"/>
    <hyperlink ref="V4" r:id="rId9" xr:uid="{40DDDEDA-8FA1-441C-A64D-830230FD4529}"/>
    <hyperlink ref="X4" r:id="rId10" xr:uid="{AE4489E0-A99B-424D-A6E4-0847DCD98E4F}"/>
    <hyperlink ref="U5" r:id="rId11" xr:uid="{DF7BB78F-3F7D-48A6-8834-AAC7EA93C394}"/>
    <hyperlink ref="V5" r:id="rId12" xr:uid="{61D20909-19B0-4D98-A7A3-8F7773A306D7}"/>
    <hyperlink ref="W5" r:id="rId13" xr:uid="{3A77D6AF-FD64-40D5-9EF2-49352B9E3866}"/>
    <hyperlink ref="X5" r:id="rId14" xr:uid="{CC2A48A6-23B5-442E-8E0B-4CAF6678820E}"/>
    <hyperlink ref="U6" r:id="rId15" xr:uid="{FE8D3104-1971-4B08-B91A-E5FF6029DF10}"/>
    <hyperlink ref="V6" r:id="rId16" xr:uid="{8B979D93-B2D1-498E-A182-87EFCF5421DB}"/>
    <hyperlink ref="W6" r:id="rId17" xr:uid="{3909D0BF-6FBC-414C-B7FD-9ADB117218F6}"/>
    <hyperlink ref="X6" r:id="rId18" xr:uid="{9549DEC7-F666-4852-9B25-6470722BF37C}"/>
    <hyperlink ref="U7" r:id="rId19" xr:uid="{DEDE8073-13F2-4C48-A9DC-2461C2738143}"/>
    <hyperlink ref="V7" r:id="rId20" xr:uid="{71BFD655-2964-4E32-B4D4-DBBB0682D808}"/>
    <hyperlink ref="X7" r:id="rId21" xr:uid="{E59C4930-9074-4806-99F2-72DE6912C981}"/>
    <hyperlink ref="U8" r:id="rId22" xr:uid="{78781CA2-D18A-4C89-B48F-744A256EB6D3}"/>
    <hyperlink ref="V8" r:id="rId23" xr:uid="{C561A2DD-6636-47CC-8938-F3E53B7B465D}"/>
    <hyperlink ref="W8" r:id="rId24" xr:uid="{F5B317B2-C5FB-4F08-8333-AB9B824B78E7}"/>
    <hyperlink ref="X8" r:id="rId25" xr:uid="{87167069-779D-46BC-99B1-9813D880545B}"/>
    <hyperlink ref="U9" r:id="rId26" xr:uid="{FBB22F16-EE85-4424-806D-89EB0760E407}"/>
    <hyperlink ref="V9" r:id="rId27" xr:uid="{C2593A24-94EC-4094-B40E-A55C114573D0}"/>
    <hyperlink ref="W9" r:id="rId28" xr:uid="{E99AF70E-19EE-4545-8336-E8FEB292C425}"/>
    <hyperlink ref="X9" r:id="rId29" xr:uid="{9669B9AE-BFBF-4BCF-AB30-4506F393DD43}"/>
    <hyperlink ref="U10" r:id="rId30" xr:uid="{7228D0D9-755A-4D91-9FD0-2426106D69D7}"/>
    <hyperlink ref="V10" r:id="rId31" xr:uid="{0C57C04C-6F97-402A-A743-E2B29F44B4FF}"/>
    <hyperlink ref="X10" r:id="rId32" xr:uid="{3812AA5E-BEFF-4C2D-8E46-7C03866D4AA2}"/>
    <hyperlink ref="U11" r:id="rId33" xr:uid="{B2EEA60B-E1EF-4A7D-880F-452B1CD56FC4}"/>
    <hyperlink ref="V11" r:id="rId34" xr:uid="{9172DBC0-4E0F-4D3F-8573-E26E35557872}"/>
    <hyperlink ref="W11" r:id="rId35" xr:uid="{4C9A883F-FA70-4CCB-9662-93CFBF505DCE}"/>
    <hyperlink ref="X11" r:id="rId36" xr:uid="{4C092C3E-47ED-400B-AEE5-4AC69AFE5B3A}"/>
  </hyperlinks>
  <pageMargins left="0.7" right="0.7" top="0.75" bottom="0.75" header="0.3" footer="0.3"/>
  <tableParts count="1">
    <tablePart r:id="rId3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86AD5-214A-4E29-8C3C-D28012B13A5F}">
  <dimension ref="B1:D6"/>
  <sheetViews>
    <sheetView workbookViewId="0">
      <selection activeCell="C9" sqref="C9"/>
    </sheetView>
  </sheetViews>
  <sheetFormatPr baseColWidth="10" defaultRowHeight="13.2" x14ac:dyDescent="0.25"/>
  <cols>
    <col min="2" max="2" width="36.5546875" bestFit="1" customWidth="1"/>
    <col min="3" max="3" width="29.5546875" style="8" bestFit="1" customWidth="1"/>
    <col min="4" max="4" width="47.6640625" customWidth="1"/>
  </cols>
  <sheetData>
    <row r="1" spans="2:4" x14ac:dyDescent="0.25">
      <c r="B1" s="7" t="s">
        <v>100</v>
      </c>
      <c r="C1" s="10" t="s">
        <v>48</v>
      </c>
      <c r="D1" s="7" t="s">
        <v>49</v>
      </c>
    </row>
    <row r="2" spans="2:4" x14ac:dyDescent="0.25">
      <c r="B2" s="6" t="s">
        <v>16</v>
      </c>
      <c r="C2" s="8" t="s">
        <v>23</v>
      </c>
    </row>
    <row r="3" spans="2:4" x14ac:dyDescent="0.25">
      <c r="B3" s="9" t="s">
        <v>33</v>
      </c>
      <c r="C3" s="8" t="s">
        <v>23</v>
      </c>
    </row>
    <row r="4" spans="2:4" x14ac:dyDescent="0.25">
      <c r="B4" s="6" t="s">
        <v>63</v>
      </c>
      <c r="C4" s="8" t="s">
        <v>23</v>
      </c>
    </row>
    <row r="5" spans="2:4" x14ac:dyDescent="0.25">
      <c r="B5" s="11" t="s">
        <v>52</v>
      </c>
      <c r="C5" s="8" t="s">
        <v>23</v>
      </c>
    </row>
    <row r="6" spans="2:4" x14ac:dyDescent="0.25">
      <c r="B6" s="9" t="s">
        <v>75</v>
      </c>
      <c r="C6" s="8" t="s"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Respuestas de formulario 1</vt:lpstr>
      <vt:lpstr>masa de trabajo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JHONATHAN VODNIZZA KINGMA</dc:creator>
  <cp:lastModifiedBy>JHONATHAN VODNIZZA KINGMA</cp:lastModifiedBy>
  <dcterms:created xsi:type="dcterms:W3CDTF">2026-08-07T18:02:27Z</dcterms:created>
  <dcterms:modified xsi:type="dcterms:W3CDTF">2026-08-14T16:00:20Z</dcterms:modified>
</cp:coreProperties>
</file>